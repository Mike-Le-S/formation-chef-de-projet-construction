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ce" sheetId="1" state="visible" r:id="rId1"/>
    <sheet xmlns:r="http://schemas.openxmlformats.org/officeDocument/2006/relationships" name="Parametres" sheetId="2" state="visible" r:id="rId2"/>
    <sheet xmlns:r="http://schemas.openxmlformats.org/officeDocument/2006/relationships" name="Budget" sheetId="3" state="visible" r:id="rId3"/>
    <sheet xmlns:r="http://schemas.openxmlformats.org/officeDocument/2006/relationships" name="Engagements" sheetId="4" state="visible" r:id="rId4"/>
    <sheet xmlns:r="http://schemas.openxmlformats.org/officeDocument/2006/relationships" name="Facturation" sheetId="5" state="visible" r:id="rId5"/>
    <sheet xmlns:r="http://schemas.openxmlformats.org/officeDocument/2006/relationships" name="Regie-PV-MV" sheetId="6" state="visible" r:id="rId6"/>
    <sheet xmlns:r="http://schemas.openxmlformats.org/officeDocument/2006/relationships" name="Prevision" sheetId="7" state="visible" r:id="rId7"/>
    <sheet xmlns:r="http://schemas.openxmlformats.org/officeDocument/2006/relationships" name="Cash-flow" sheetId="8" state="visible" r:id="rId8"/>
    <sheet xmlns:r="http://schemas.openxmlformats.org/officeDocument/2006/relationships" name="Dashboard" sheetId="9" state="visible" r:id="rId9"/>
    <sheet xmlns:r="http://schemas.openxmlformats.org/officeDocument/2006/relationships" name="Analyse" sheetId="10" state="visible" r:id="rId10"/>
  </sheets>
  <definedNames>
    <definedName name="_xlnm.Print_Area" localSheetId="0">'Notice'!$A$1:$B$33</definedName>
    <definedName name="_xlnm.Print_Area" localSheetId="1">'Parametres'!$A$1:$F$36</definedName>
    <definedName name="_xlnm.Print_Titles" localSheetId="2">'Budget'!$3:$3</definedName>
    <definedName name="_xlnm.Print_Area" localSheetId="2">'Budget'!$A$1:$L$28</definedName>
    <definedName name="_xlnm.Print_Titles" localSheetId="3">'Engagements'!$31:$31</definedName>
    <definedName name="_xlnm.Print_Area" localSheetId="3">'Engagements'!$A$1:$G$82</definedName>
    <definedName name="_xlnm.Print_Titles" localSheetId="4">'Facturation'!$3:$3</definedName>
    <definedName name="_xlnm.Print_Area" localSheetId="4">'Facturation'!$A$1:$J$22</definedName>
    <definedName name="_xlnm.Print_Titles" localSheetId="5">'Regie-PV-MV'!$6:$6</definedName>
    <definedName name="_xlnm.Print_Area" localSheetId="5">'Regie-PV-MV'!$A$1:$I$47</definedName>
    <definedName name="_xlnm.Print_Titles" localSheetId="6">'Prevision'!$3:$3</definedName>
    <definedName name="_xlnm.Print_Area" localSheetId="6">'Prevision'!$A$1:$P$27</definedName>
    <definedName name="_xlnm.Print_Titles" localSheetId="7">'Cash-flow'!$3:$3</definedName>
    <definedName name="_xlnm.Print_Area" localSheetId="7">'Cash-flow'!$A$1:$H$21</definedName>
    <definedName name="_xlnm.Print_Area" localSheetId="8">'Dashboard'!$A$1:$H$34</definedName>
    <definedName name="_xlnm.Print_Titles" localSheetId="9">'Analyse'!$3:$3</definedName>
    <definedName name="_xlnm.Print_Area" localSheetId="9">'Analyse'!$A$1:$F$9</definedName>
  </definedNames>
  <calcPr calcId="124519" fullCalcOnLoad="1"/>
</workbook>
</file>

<file path=xl/styles.xml><?xml version="1.0" encoding="utf-8"?>
<styleSheet xmlns="http://schemas.openxmlformats.org/spreadsheetml/2006/main">
  <numFmts count="7">
    <numFmt numFmtId="164" formatCode="yyyy-mm-dd"/>
    <numFmt numFmtId="165" formatCode="dd.mm.yyyy"/>
    <numFmt numFmtId="166" formatCode="#,##0&quot; CHF&quot;"/>
    <numFmt numFmtId="167" formatCode="0.0%"/>
    <numFmt numFmtId="168" formatCode="0.0"/>
    <numFmt numFmtId="169" formatCode="0.000000"/>
    <numFmt numFmtId="170" formatCode="0.0&quot;%&quot;"/>
  </numFmts>
  <fonts count="12">
    <font>
      <name val="Calibri"/>
      <family val="2"/>
      <color theme="1"/>
      <sz val="11"/>
      <scheme val="minor"/>
    </font>
    <font>
      <b val="1"/>
      <color rgb="00FFFFFF"/>
      <sz val="14"/>
    </font>
    <font>
      <b val="1"/>
      <color rgb="001F4E79"/>
      <sz val="12"/>
    </font>
    <font>
      <b val="1"/>
      <color rgb="00FFFFFF"/>
      <sz val="12"/>
    </font>
    <font>
      <i val="1"/>
      <color rgb="00595959"/>
      <sz val="9"/>
    </font>
    <font>
      <b val="1"/>
      <color rgb="00FFFFFF"/>
      <sz val="11"/>
    </font>
    <font>
      <b val="1"/>
    </font>
    <font>
      <b val="1"/>
      <color rgb="007F7F7F"/>
      <sz val="9"/>
    </font>
    <font>
      <b val="1"/>
      <color rgb="001F4E79"/>
      <sz val="19"/>
    </font>
    <font>
      <b val="1"/>
      <sz val="11"/>
    </font>
    <font>
      <b val="1"/>
      <sz val="14"/>
    </font>
    <font>
      <color rgb="00FFFFFF"/>
      <sz val="1"/>
    </font>
  </fonts>
  <fills count="11">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F5F7FA"/>
      </patternFill>
    </fill>
    <fill>
      <patternFill patternType="solid">
        <fgColor rgb="00D9E2F3"/>
      </patternFill>
    </fill>
    <fill>
      <patternFill patternType="solid">
        <fgColor rgb="00FFC7CE"/>
      </patternFill>
    </fill>
    <fill>
      <patternFill patternType="solid">
        <fgColor rgb="00FCE4D6"/>
      </patternFill>
    </fill>
    <fill>
      <patternFill patternType="solid">
        <fgColor rgb="00C6EFCE"/>
      </patternFill>
    </fill>
    <fill>
      <patternFill patternType="solid">
        <fgColor rgb="00FFFFFF"/>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ck">
        <color rgb="001F4E79"/>
      </top>
      <bottom style="thin">
        <color rgb="00D9D9D9"/>
      </bottom>
    </border>
    <border>
      <bottom style="thick">
        <color rgb="00FFFFF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0" fillId="0" borderId="0" applyAlignment="1" pivotButton="0" quotePrefix="0" xfId="0">
      <alignment horizontal="left" vertical="top" wrapText="1"/>
    </xf>
    <xf numFmtId="0" fontId="2" fillId="0" borderId="0" pivotButton="0" quotePrefix="0" xfId="0"/>
    <xf numFmtId="0" fontId="0" fillId="3" borderId="0" pivotButton="0" quotePrefix="0" xfId="0"/>
    <xf numFmtId="0" fontId="0" fillId="4" borderId="0" pivotButton="0" quotePrefix="0" xfId="0"/>
    <xf numFmtId="0" fontId="3" fillId="2" borderId="0" applyAlignment="1" pivotButton="0" quotePrefix="0" xfId="0">
      <alignment horizontal="left" vertical="center" indent="1"/>
    </xf>
    <xf numFmtId="0" fontId="5" fillId="2" borderId="1" applyAlignment="1" pivotButton="0" quotePrefix="0" xfId="0">
      <alignment horizontal="center" vertical="center" wrapText="1"/>
    </xf>
    <xf numFmtId="0" fontId="0" fillId="3" borderId="1" applyAlignment="1" pivotButton="0" quotePrefix="0" xfId="0">
      <alignment horizontal="left" vertical="center" wrapText="1"/>
    </xf>
    <xf numFmtId="165" fontId="0" fillId="3" borderId="1" applyAlignment="1" pivotButton="0" quotePrefix="0" xfId="0">
      <alignment horizontal="left" vertical="center" wrapText="1"/>
    </xf>
    <xf numFmtId="166" fontId="0" fillId="3" borderId="1" applyAlignment="1" pivotButton="0" quotePrefix="0" xfId="0">
      <alignment horizontal="left" vertical="center" wrapText="1"/>
    </xf>
    <xf numFmtId="167" fontId="0" fillId="3" borderId="1" applyAlignment="1" pivotButton="0" quotePrefix="0" xfId="0">
      <alignment horizontal="left" vertical="center" wrapText="1"/>
    </xf>
    <xf numFmtId="1" fontId="0" fillId="3" borderId="1" applyAlignment="1" pivotButton="0" quotePrefix="0" xfId="0">
      <alignment horizontal="left" vertical="center" wrapText="1"/>
    </xf>
    <xf numFmtId="0" fontId="4" fillId="0" borderId="0" pivotButton="0" quotePrefix="0" xfId="0"/>
    <xf numFmtId="165" fontId="0" fillId="0" borderId="0" pivotButton="0" quotePrefix="0" xfId="0"/>
    <xf numFmtId="166" fontId="0" fillId="3" borderId="1" applyAlignment="1" pivotButton="0" quotePrefix="0" xfId="0">
      <alignment horizontal="right" vertical="center"/>
    </xf>
    <xf numFmtId="166" fontId="0" fillId="4" borderId="1" applyAlignment="1" pivotButton="0" quotePrefix="0" xfId="0">
      <alignment horizontal="right" vertical="center"/>
    </xf>
    <xf numFmtId="167" fontId="0" fillId="4" borderId="1" applyAlignment="1" pivotButton="0" quotePrefix="0" xfId="0">
      <alignment horizontal="right" vertical="center"/>
    </xf>
    <xf numFmtId="166" fontId="0" fillId="5" borderId="1" applyAlignment="1" pivotButton="0" quotePrefix="0" xfId="0">
      <alignment horizontal="right" vertical="center"/>
    </xf>
    <xf numFmtId="167" fontId="0" fillId="5" borderId="1" applyAlignment="1" pivotButton="0" quotePrefix="0" xfId="0">
      <alignment horizontal="right" vertical="center"/>
    </xf>
    <xf numFmtId="0" fontId="6" fillId="6" borderId="2" pivotButton="0" quotePrefix="0" xfId="0"/>
    <xf numFmtId="166" fontId="6" fillId="6" borderId="2" pivotButton="0" quotePrefix="0" xfId="0"/>
    <xf numFmtId="167" fontId="6" fillId="6" borderId="2" pivotButton="0" quotePrefix="0" xfId="0"/>
    <xf numFmtId="0" fontId="6" fillId="4" borderId="1" applyAlignment="1" pivotButton="0" quotePrefix="0" xfId="0">
      <alignment horizontal="right" vertical="center"/>
    </xf>
    <xf numFmtId="0" fontId="5" fillId="2" borderId="0" applyAlignment="1" pivotButton="0" quotePrefix="0" xfId="0">
      <alignment horizontal="left" vertical="center" indent="1"/>
    </xf>
    <xf numFmtId="0" fontId="0" fillId="4" borderId="1" applyAlignment="1" pivotButton="0" quotePrefix="0" xfId="0">
      <alignment horizontal="right" vertical="center"/>
    </xf>
    <xf numFmtId="0" fontId="0" fillId="4" borderId="1" applyAlignment="1" pivotButton="0" quotePrefix="0" xfId="0">
      <alignment horizontal="left" vertical="center" wrapText="1"/>
    </xf>
    <xf numFmtId="0" fontId="0" fillId="5" borderId="1" applyAlignment="1" pivotButton="0" quotePrefix="0" xfId="0">
      <alignment horizontal="right" vertical="center"/>
    </xf>
    <xf numFmtId="0" fontId="0" fillId="5" borderId="1" applyAlignment="1" pivotButton="0" quotePrefix="0" xfId="0">
      <alignment horizontal="left" vertical="center" wrapText="1"/>
    </xf>
    <xf numFmtId="0" fontId="6" fillId="4" borderId="1" applyAlignment="1" pivotButton="0" quotePrefix="0" xfId="0">
      <alignment horizontal="left" vertical="center" wrapText="1"/>
    </xf>
    <xf numFmtId="166" fontId="6" fillId="6" borderId="2" applyAlignment="1" pivotButton="0" quotePrefix="0" xfId="0">
      <alignment horizontal="right" vertical="center"/>
    </xf>
    <xf numFmtId="167" fontId="6" fillId="6" borderId="2" applyAlignment="1" pivotButton="0" quotePrefix="0" xfId="0">
      <alignment horizontal="right" vertical="center"/>
    </xf>
    <xf numFmtId="166" fontId="6" fillId="4" borderId="1" applyAlignment="1" pivotButton="0" quotePrefix="0" xfId="0">
      <alignment horizontal="right" vertical="center"/>
    </xf>
    <xf numFmtId="168" fontId="0" fillId="4" borderId="1" applyAlignment="1" pivotButton="0" quotePrefix="0" xfId="0">
      <alignment horizontal="right" vertical="center"/>
    </xf>
    <xf numFmtId="169" fontId="0" fillId="4" borderId="1" applyAlignment="1" pivotButton="0" quotePrefix="0" xfId="0">
      <alignment horizontal="right" vertical="center"/>
    </xf>
    <xf numFmtId="168" fontId="0" fillId="5" borderId="1" applyAlignment="1" pivotButton="0" quotePrefix="0" xfId="0">
      <alignment horizontal="right" vertical="center"/>
    </xf>
    <xf numFmtId="169" fontId="0" fillId="5" borderId="1" applyAlignment="1" pivotButton="0" quotePrefix="0" xfId="0">
      <alignment horizontal="right" vertical="center"/>
    </xf>
    <xf numFmtId="168" fontId="6" fillId="6" borderId="2" pivotButton="0" quotePrefix="0" xfId="0"/>
    <xf numFmtId="170" fontId="0" fillId="3" borderId="1" applyAlignment="1" pivotButton="0" quotePrefix="0" xfId="0">
      <alignment horizontal="right" vertical="center"/>
    </xf>
    <xf numFmtId="0" fontId="7" fillId="5" borderId="0" applyAlignment="1" pivotButton="0" quotePrefix="0" xfId="0">
      <alignment horizontal="center" vertical="bottom"/>
    </xf>
    <xf numFmtId="0" fontId="0" fillId="5" borderId="0" pivotButton="0" quotePrefix="0" xfId="0"/>
    <xf numFmtId="166" fontId="8" fillId="5" borderId="3" applyAlignment="1" pivotButton="0" quotePrefix="0" xfId="0">
      <alignment horizontal="center" vertical="top"/>
    </xf>
    <xf numFmtId="0" fontId="0" fillId="5" borderId="3" pivotButton="0" quotePrefix="0" xfId="0"/>
    <xf numFmtId="167" fontId="8" fillId="5" borderId="3" applyAlignment="1" pivotButton="0" quotePrefix="0" xfId="0">
      <alignment horizontal="center" vertical="top"/>
    </xf>
    <xf numFmtId="168" fontId="8" fillId="5" borderId="3" applyAlignment="1" pivotButton="0" quotePrefix="0" xfId="0">
      <alignment horizontal="center" vertical="top"/>
    </xf>
    <xf numFmtId="0" fontId="9" fillId="0" borderId="0" applyAlignment="1" pivotButton="0" quotePrefix="0" xfId="0">
      <alignment horizontal="right" vertical="center"/>
    </xf>
    <xf numFmtId="0" fontId="10" fillId="0" borderId="0" applyAlignment="1" pivotButton="0" quotePrefix="0" xfId="0">
      <alignment horizontal="center" vertical="center"/>
    </xf>
    <xf numFmtId="0" fontId="6" fillId="7" borderId="0" applyAlignment="1" pivotButton="0" quotePrefix="0" xfId="0">
      <alignment horizontal="center" vertical="center"/>
    </xf>
    <xf numFmtId="0" fontId="0" fillId="0" borderId="0" applyAlignment="1" pivotButton="0" quotePrefix="0" xfId="0">
      <alignment horizontal="left" vertical="center" wrapText="1"/>
    </xf>
    <xf numFmtId="0" fontId="6" fillId="8" borderId="0" applyAlignment="1" pivotButton="0" quotePrefix="0" xfId="0">
      <alignment horizontal="center" vertical="center"/>
    </xf>
    <xf numFmtId="0" fontId="6" fillId="9" borderId="0" applyAlignment="1" pivotButton="0" quotePrefix="0" xfId="0">
      <alignment horizontal="center" vertical="center"/>
    </xf>
    <xf numFmtId="0" fontId="5" fillId="2" borderId="0" applyAlignment="1" pivotButton="0" quotePrefix="0" xfId="0">
      <alignment horizontal="left" vertical="center" wrapText="1" indent="1"/>
    </xf>
    <xf numFmtId="0" fontId="0" fillId="10" borderId="1" applyAlignment="1" pivotButton="0" quotePrefix="0" xfId="0">
      <alignment horizontal="center" vertical="center" wrapText="1"/>
    </xf>
    <xf numFmtId="0" fontId="0" fillId="10" borderId="1" applyAlignment="1" pivotButton="0" quotePrefix="0" xfId="0">
      <alignment horizontal="right" vertical="center"/>
    </xf>
    <xf numFmtId="166" fontId="0" fillId="10" borderId="1" applyAlignment="1" pivotButton="0" quotePrefix="0" xfId="0">
      <alignment horizontal="right" vertical="center"/>
    </xf>
    <xf numFmtId="169" fontId="11" fillId="0" borderId="0" pivotButton="0" quotePrefix="0" xfId="0"/>
    <xf numFmtId="0" fontId="0" fillId="5" borderId="1" applyAlignment="1" pivotButton="0" quotePrefix="0" xfId="0">
      <alignment horizontal="center" vertical="center" wrapText="1"/>
    </xf>
    <xf numFmtId="0" fontId="0" fillId="4" borderId="0" applyAlignment="1" pivotButton="0" quotePrefix="0" xfId="0">
      <alignment horizontal="left" vertical="center" wrapText="1"/>
    </xf>
    <xf numFmtId="1" fontId="0" fillId="4" borderId="1" applyAlignment="1" pivotButton="0" quotePrefix="0" xfId="0">
      <alignment horizontal="right" vertical="center"/>
    </xf>
    <xf numFmtId="0" fontId="6" fillId="4" borderId="0" applyAlignment="1" pivotButton="0" quotePrefix="0" xfId="0">
      <alignment horizontal="center" vertical="center"/>
    </xf>
    <xf numFmtId="0" fontId="0" fillId="5" borderId="0" applyAlignment="1" pivotButton="0" quotePrefix="0" xfId="0">
      <alignment horizontal="left" vertical="center" wrapText="1"/>
    </xf>
    <xf numFmtId="0" fontId="6" fillId="5" borderId="0" applyAlignment="1" pivotButton="0" quotePrefix="0" xfId="0">
      <alignment horizontal="center" vertical="center"/>
    </xf>
  </cellXfs>
  <cellStyles count="1">
    <cellStyle name="Normal" xfId="0" builtinId="0" hidden="0"/>
  </cellStyles>
  <dxfs count="5">
    <dxf>
      <font>
        <b val="1"/>
        <color rgb="00FFFFFF"/>
      </font>
      <fill>
        <patternFill patternType="solid">
          <fgColor rgb="00C00000"/>
        </patternFill>
      </fill>
    </dxf>
    <dxf>
      <font>
        <b val="1"/>
        <color rgb="00006100"/>
      </font>
      <fill>
        <patternFill patternType="solid">
          <fgColor rgb="00C6EFCE"/>
        </patternFill>
      </fill>
    </dxf>
    <dxf>
      <font>
        <b val="1"/>
        <color rgb="009C0006"/>
      </font>
      <fill>
        <patternFill patternType="solid">
          <fgColor rgb="00FFC7CE"/>
        </patternFill>
      </fill>
    </dxf>
    <dxf>
      <font>
        <b val="1"/>
        <color rgb="009C5700"/>
      </font>
      <fill>
        <patternFill patternType="solid">
          <fgColor rgb="00FCE4D6"/>
        </patternFill>
      </fill>
    </dxf>
    <dxf>
      <font>
        <color rgb="0000610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2"/>
  <chart>
    <title>
      <tx>
        <rich>
          <a:bodyPr xmlns:a="http://schemas.openxmlformats.org/drawingml/2006/main"/>
          <a:p xmlns:a="http://schemas.openxmlformats.org/drawingml/2006/main">
            <a:pPr>
              <a:defRPr/>
            </a:pPr>
            <a:r>
              <a:t>Cumul de facturation : planifié vs réel (courbe en S)</a:t>
            </a:r>
          </a:p>
        </rich>
      </tx>
    </title>
    <plotArea>
      <lineChart>
        <grouping val="standard"/>
        <ser>
          <idx val="0"/>
          <order val="0"/>
          <tx>
            <strRef>
              <f>'Cash-flow'!E3</f>
            </strRef>
          </tx>
          <spPr>
            <a:ln xmlns:a="http://schemas.openxmlformats.org/drawingml/2006/main">
              <a:prstDash val="solid"/>
            </a:ln>
          </spPr>
          <marker>
            <symbol val="none"/>
            <spPr>
              <a:ln xmlns:a="http://schemas.openxmlformats.org/drawingml/2006/main">
                <a:prstDash val="solid"/>
              </a:ln>
            </spPr>
          </marker>
          <cat>
            <numRef>
              <f>'Cash-flow'!$A$4:$A$21</f>
            </numRef>
          </cat>
          <val>
            <numRef>
              <f>'Cash-flow'!$E$4:$E$21</f>
            </numRef>
          </val>
        </ser>
        <ser>
          <idx val="1"/>
          <order val="1"/>
          <tx>
            <strRef>
              <f>'Cash-flow'!F3</f>
            </strRef>
          </tx>
          <spPr>
            <a:ln xmlns:a="http://schemas.openxmlformats.org/drawingml/2006/main">
              <a:prstDash val="solid"/>
            </a:ln>
          </spPr>
          <marker>
            <symbol val="none"/>
            <spPr>
              <a:ln xmlns:a="http://schemas.openxmlformats.org/drawingml/2006/main">
                <a:prstDash val="solid"/>
              </a:ln>
            </spPr>
          </marker>
          <cat>
            <numRef>
              <f>'Cash-flow'!$A$4:$A$21</f>
            </numRef>
          </cat>
          <val>
            <numRef>
              <f>'Cash-flow'!$F$4:$F$21</f>
            </numRef>
          </val>
        </ser>
        <axId val="10"/>
        <axId val="100"/>
      </lineChart>
      <catAx>
        <axId val="10"/>
        <scaling>
          <orientation val="minMax"/>
        </scaling>
        <axPos val="l"/>
        <title>
          <tx>
            <rich>
              <a:bodyPr xmlns:a="http://schemas.openxmlformats.org/drawingml/2006/main"/>
              <a:p xmlns:a="http://schemas.openxmlformats.org/drawingml/2006/main">
                <a:pPr>
                  <a:defRPr/>
                </a:pPr>
                <a:r>
                  <a:t>Mois du chantier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CHF cumulés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Facturation mensuelle : planifiée vs réelle</a:t>
            </a:r>
          </a:p>
        </rich>
      </tx>
    </title>
    <plotArea>
      <barChart>
        <barDir val="col"/>
        <grouping val="clustered"/>
        <ser>
          <idx val="0"/>
          <order val="0"/>
          <tx>
            <strRef>
              <f>'Cash-flow'!C3</f>
            </strRef>
          </tx>
          <spPr>
            <a:ln xmlns:a="http://schemas.openxmlformats.org/drawingml/2006/main">
              <a:prstDash val="solid"/>
            </a:ln>
          </spPr>
          <cat>
            <numRef>
              <f>'Cash-flow'!$A$4:$A$21</f>
            </numRef>
          </cat>
          <val>
            <numRef>
              <f>'Cash-flow'!$C$4:$C$21</f>
            </numRef>
          </val>
        </ser>
        <ser>
          <idx val="1"/>
          <order val="1"/>
          <tx>
            <strRef>
              <f>'Cash-flow'!D3</f>
            </strRef>
          </tx>
          <spPr>
            <a:ln xmlns:a="http://schemas.openxmlformats.org/drawingml/2006/main">
              <a:prstDash val="solid"/>
            </a:ln>
          </spPr>
          <cat>
            <numRef>
              <f>'Cash-flow'!$A$4:$A$21</f>
            </numRef>
          </cat>
          <val>
            <numRef>
              <f>'Cash-flow'!$D$4:$D$21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Mois du chantier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CHF</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Marge initiale vs marge prévisionnelle par position CFC</a:t>
            </a:r>
          </a:p>
        </rich>
      </tx>
    </title>
    <plotArea>
      <barChart>
        <barDir val="col"/>
        <grouping val="clustered"/>
        <ser>
          <idx val="0"/>
          <order val="0"/>
          <tx>
            <strRef>
              <f>'Prevision'!M3</f>
            </strRef>
          </tx>
          <spPr>
            <a:ln xmlns:a="http://schemas.openxmlformats.org/drawingml/2006/main">
              <a:prstDash val="solid"/>
            </a:ln>
          </spPr>
          <cat>
            <numRef>
              <f>'Prevision'!$A$4:$A$26</f>
            </numRef>
          </cat>
          <val>
            <numRef>
              <f>'Prevision'!$M$4:$M$26</f>
            </numRef>
          </val>
        </ser>
        <ser>
          <idx val="1"/>
          <order val="1"/>
          <tx>
            <strRef>
              <f>'Prevision'!K3</f>
            </strRef>
          </tx>
          <spPr>
            <a:ln xmlns:a="http://schemas.openxmlformats.org/drawingml/2006/main">
              <a:prstDash val="solid"/>
            </a:ln>
          </spPr>
          <cat>
            <numRef>
              <f>'Prevision'!$A$4:$A$26</f>
            </numRef>
          </cat>
          <val>
            <numRef>
              <f>'Prevision'!$K$4:$K$26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Position CFC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CHF</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9</col>
      <colOff>0</colOff>
      <row>2</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23</row>
      <rowOff>0</rowOff>
    </from>
    <ext cx="86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35</row>
      <rowOff>0</rowOff>
    </from>
    <ext cx="108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808080"/>
    <outlinePr summaryBelow="1" summaryRight="1"/>
    <pageSetUpPr fitToPage="1"/>
  </sheetPr>
  <dimension ref="A1:B33"/>
  <sheetViews>
    <sheetView showGridLines="0" workbookViewId="0">
      <selection activeCell="A1" sqref="A1"/>
    </sheetView>
  </sheetViews>
  <sheetFormatPr baseColWidth="8" defaultRowHeight="15"/>
  <cols>
    <col width="3" customWidth="1" min="1" max="1"/>
    <col width="95" customWidth="1" min="2" max="2"/>
  </cols>
  <sheetData>
    <row r="1" ht="26" customHeight="1">
      <c r="A1" s="1" t="inlineStr">
        <is>
          <t>NOTICE, OUTIL SMIT DE GESTION FINANCIÈRE DE CHANTIER</t>
        </is>
      </c>
      <c r="B1" s="2" t="n"/>
    </row>
    <row r="3" ht="45" customHeight="1">
      <c r="B3" s="3" t="inlineStr">
        <is>
          <t>Cet outil sert au chef de projet à piloter mensuellement les finances d'un chantier de construction : budget, engagements, facturation, plus-values et moins-values, prévision fin de chantier (PFC), cash-flow et marge. Il est conçu pour être mis à jour chaque mois, en parallèle de la situation adressée au maître d'ouvrage (MO).</t>
        </is>
      </c>
    </row>
    <row r="5">
      <c r="B5" s="4" t="inlineStr">
        <is>
          <t>À quoi sert chaque feuille</t>
        </is>
      </c>
    </row>
    <row r="6" ht="90" customHeight="1">
      <c r="B6" s="3" t="inlineStr">
        <is>
          <t>Paramètres = données de base du chantier et listes utilisées dans tout le classeur. Budget = budget adjugé par position CFC, ventilé en Salaires / Matériaux / Inventaire / Tiers (SMIT). Engagements = journal des contrats et commandes passés aux entreprises. Facturation = situations mensuelles émises au MO. Régie-PV-MV = suppléments, plus-values, moins-values et réclamations. Prévision = prévision fin de chantier (PFC) et marge prévue par position. Cash-flow = suivi de la facturation et des encaissements dans le temps. Dashboard = indicateurs de synthèse avec feux tricolores. Analyse = contrôles automatiques qui signalent les points à vérifier.</t>
        </is>
      </c>
    </row>
    <row r="8">
      <c r="B8" s="4" t="inlineStr">
        <is>
          <t>Routine mensuelle en 5 étapes</t>
        </is>
      </c>
    </row>
    <row r="9" ht="30" customHeight="1">
      <c r="B9" s="3" t="inlineStr">
        <is>
          <t>1. Mettre à jour la feuille Engagements : ajouter les nouveaux contrats, commandes et avenants du mois (montant engagé par position CFC et famille SMIT).</t>
        </is>
      </c>
    </row>
    <row r="10" ht="30" customHeight="1">
      <c r="B10" s="3" t="inlineStr">
        <is>
          <t>2. Mettre à jour la feuille Facturation : saisir la nouvelle situation émise au MO (montant HT du mois) et pointer les paiements reçus.</t>
        </is>
      </c>
    </row>
    <row r="11" ht="30" customHeight="1">
      <c r="B11" s="3" t="inlineStr">
        <is>
          <t>3. Mettre à jour la feuille Régie-PV-MV : ajouter les nouvelles demandes, en faire évoluer le statut (annoncé, accepté ou refusé).</t>
        </is>
      </c>
    </row>
    <row r="12" ht="30" customHeight="1">
      <c r="B12" s="3" t="inlineStr">
        <is>
          <t>4. Réviser la feuille Prévision : ajuster le reste à engager et les risques/aléas de chaque position selon l'avancement réel constaté sur le chantier.</t>
        </is>
      </c>
    </row>
    <row r="13" ht="30" customHeight="1">
      <c r="B13" s="3" t="inlineStr">
        <is>
          <t>5. Contrôler le Dashboard et la feuille Analyse : vérifier les feux tricolores et traiter chaque ALERTE avant de clôturer la situation du mois.</t>
        </is>
      </c>
    </row>
    <row r="15">
      <c r="B15" s="4" t="inlineStr">
        <is>
          <t>Code couleur</t>
        </is>
      </c>
    </row>
    <row r="16" ht="30" customHeight="1">
      <c r="A16" s="5" t="n"/>
      <c r="B16" s="3" t="inlineStr">
        <is>
          <t>Fond jaune pâle : cellule de SAISIE. C'est une donnée d'entrée (date, montant, libellé, statut) que le chef de projet renseigne ou corrige chaque mois.</t>
        </is>
      </c>
    </row>
    <row r="17" ht="30" customHeight="1">
      <c r="A17" s="6" t="n"/>
      <c r="B17" s="3" t="inlineStr">
        <is>
          <t>Fond gris très clair (ou blanc) : cellule CALCULÉE. Le résultat provient d'une formule Excel et ne doit jamais être saisi ou écrasé à la main.</t>
        </is>
      </c>
    </row>
    <row r="18" ht="30" customHeight="1">
      <c r="A18" s="2" t="n"/>
      <c r="B18" s="3" t="inlineStr">
        <is>
          <t>Fond bleu foncé, texte blanc : en-tête de tableau ou de section.</t>
        </is>
      </c>
    </row>
    <row r="20">
      <c r="B20" s="4" t="inlineStr">
        <is>
          <t>Avertissement sur la ventilation SMIT</t>
        </is>
      </c>
    </row>
    <row r="21" ht="60" customHeight="1">
      <c r="B21" s="3" t="inlineStr">
        <is>
          <t>La ventilation Salaires / Matériaux / Inventaire / Tiers (SMIT) utilisée ici est une interprétation générique, fournie à titre d'exemple. Elle doit impérativement être adaptée au plan comptable et aux rubriques internes propres à chaque entreprise avant toute utilisation en conditions réelles. Les pourcentages de répartition par position CFC de la feuille Budget sont des exemples et n'ont pas de valeur normative.</t>
        </is>
      </c>
    </row>
    <row r="23">
      <c r="B23" s="4" t="inlineStr">
        <is>
          <t>Ajouter des lignes dans un journal (Engagements, Régie-PV-MV, Facturation)</t>
        </is>
      </c>
    </row>
    <row r="24" ht="75" customHeight="1">
      <c r="B24" s="3" t="inlineStr">
        <is>
          <t>Les feuilles Engagements et Régie-PV-MV contiennent 30 lignes vides pré-formatées et pré-validées (listes déroulantes) sous les données d'exemple : saisis les nouvelles lignes dans cette zone prévue, au-dessus de la ligne TOTAL ou du récapitulatif, pour que les formules (SUMIFS, cumuls, totaux) les prennent automatiquement en compte. La feuille Facturation contient déjà une ligne par mois du chantier jusqu'à juin 2027 : il suffit de compléter le montant HT et le paiement du mois concerné, au-dessus de la ligne TOTAL.</t>
        </is>
      </c>
    </row>
    <row r="26">
      <c r="B26" s="4" t="inlineStr">
        <is>
          <t>Noms des onglets sans accents</t>
        </is>
      </c>
    </row>
    <row r="27" ht="60" customHeight="1">
      <c r="B27" s="3" t="inlineStr">
        <is>
          <t>Les noms des onglets (Parametres, Prevision, Regie-PV-MV) sont volontairement écrits sans accents : Excel utilise ces noms tels quels dans toutes les formules du classeur, et les accents dans un nom d'onglet sont une source classique d'erreurs si le fichier change de version d'Excel, de système d'exploitation ou de paramètres régionaux.</t>
        </is>
      </c>
    </row>
    <row r="29">
      <c r="B29" s="4" t="inlineStr">
        <is>
          <t>Compatibilité Excel / LibreOffice</t>
        </is>
      </c>
    </row>
    <row r="30" ht="45" customHeight="1">
      <c r="B30" s="3" t="inlineStr">
        <is>
          <t>La feuille Analyse utilise la fonction TEXTJOIN pour lister les positions concernées par chaque contrôle : elle nécessite Excel 2019 ou plus récent (Excel 365 inclus), ou LibreOffice Calc. Avec une version antérieure d'Excel, ces messages détaillés n'afficheront pas de texte, mais le résultat OK / ALERTE reste correct.</t>
        </is>
      </c>
    </row>
    <row r="32">
      <c r="B32" s="4" t="inlineStr">
        <is>
          <t>TVA sur les situations et le décompte final</t>
        </is>
      </c>
    </row>
    <row r="33" ht="60" customHeight="1">
      <c r="B33" s="3" t="inlineStr">
        <is>
          <t>Sur les situations intermédiaires, la TVA est calculée sur le montant net après retenue de garantie (pratique appliquée dans cet outil). Au décompte final, elle se calcule sur le montant total, retenue restituée comprise (pratique TVA courante dans le bâtiment, cf. Actu-TVA n° 76 ; à confirmer dans tous les cas avec la fiduciaire du mandat, les pratiques pouvant varier selon les contrats).</t>
        </is>
      </c>
    </row>
  </sheetData>
  <mergeCells count="1">
    <mergeCell ref="A1:B1"/>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tabColor rgb="001F4E79"/>
    <outlinePr summaryBelow="1" summaryRight="1"/>
    <pageSetUpPr fitToPage="1"/>
  </sheetPr>
  <dimension ref="A1:F36"/>
  <sheetViews>
    <sheetView showGridLines="0" workbookViewId="0">
      <selection activeCell="A1" sqref="A1"/>
    </sheetView>
  </sheetViews>
  <sheetFormatPr baseColWidth="8" defaultRowHeight="15"/>
  <cols>
    <col width="36" customWidth="1" min="1" max="1"/>
    <col width="22" customWidth="1" min="2" max="2"/>
    <col width="26" customWidth="1" min="3" max="3"/>
    <col width="3" customWidth="1" min="4" max="4"/>
    <col width="10" customWidth="1" min="5" max="5"/>
    <col width="38" customWidth="1" min="6" max="6"/>
  </cols>
  <sheetData>
    <row r="1" ht="20" customHeight="1">
      <c r="A1" s="1" t="inlineStr">
        <is>
          <t>PARAMÈTRES DU CHANTIER</t>
        </is>
      </c>
      <c r="B1" s="2" t="n"/>
      <c r="C1" s="2" t="n"/>
      <c r="E1" s="7" t="inlineStr">
        <is>
          <t>POSITIONS CFC (LISTE DE VALIDATION)</t>
        </is>
      </c>
      <c r="F1" s="2" t="n"/>
    </row>
    <row r="2" ht="26" customHeight="1">
      <c r="E2" s="8" t="inlineStr">
        <is>
          <t>CFC</t>
        </is>
      </c>
      <c r="F2" s="8" t="inlineStr">
        <is>
          <t>Libellé</t>
        </is>
      </c>
    </row>
    <row r="3">
      <c r="A3" t="inlineStr">
        <is>
          <t>Nom du chantier</t>
        </is>
      </c>
      <c r="B3" s="9" t="inlineStr">
        <is>
          <t>Résidence Les Tilleuls</t>
        </is>
      </c>
      <c r="E3" t="inlineStr">
        <is>
          <t>201</t>
        </is>
      </c>
      <c r="F3" t="inlineStr">
        <is>
          <t>Fouilles et terrassements</t>
        </is>
      </c>
    </row>
    <row r="4">
      <c r="A4" t="inlineStr">
        <is>
          <t>Maître d'ouvrage (MO)</t>
        </is>
      </c>
      <c r="B4" s="9" t="inlineStr">
        <is>
          <t>Coopérative immobilière Le Tilleul, Lausanne</t>
        </is>
      </c>
      <c r="E4" t="inlineStr">
        <is>
          <t>211</t>
        </is>
      </c>
      <c r="F4" t="inlineStr">
        <is>
          <t>Maçonnerie et béton armé</t>
        </is>
      </c>
    </row>
    <row r="5">
      <c r="A5" t="inlineStr">
        <is>
          <t>Adresse</t>
        </is>
      </c>
      <c r="B5" s="9" t="inlineStr">
        <is>
          <t>Chemin des Tilleuls 12-18, 1004 Lausanne</t>
        </is>
      </c>
      <c r="E5" t="inlineStr">
        <is>
          <t>212</t>
        </is>
      </c>
      <c r="F5" t="inlineStr">
        <is>
          <t>Dalles et planchers béton</t>
        </is>
      </c>
    </row>
    <row r="6">
      <c r="A6" t="inlineStr">
        <is>
          <t>Chef de projet</t>
        </is>
      </c>
      <c r="B6" s="9" t="inlineStr">
        <is>
          <t>Julien Rey</t>
        </is>
      </c>
      <c r="E6" t="inlineStr">
        <is>
          <t>213</t>
        </is>
      </c>
      <c r="F6" t="inlineStr">
        <is>
          <t>Construction métallique</t>
        </is>
      </c>
    </row>
    <row r="7">
      <c r="A7" t="inlineStr">
        <is>
          <t>Date d'arrêté de la situation</t>
        </is>
      </c>
      <c r="B7" s="10" t="n">
        <v>46265</v>
      </c>
      <c r="E7" t="inlineStr">
        <is>
          <t>214</t>
        </is>
      </c>
      <c r="F7" t="inlineStr">
        <is>
          <t>Échafaudages</t>
        </is>
      </c>
    </row>
    <row r="8">
      <c r="A8" t="inlineStr">
        <is>
          <t>Prix de vente total HT (CHF)</t>
        </is>
      </c>
      <c r="B8" s="11" t="n">
        <v>8000000</v>
      </c>
      <c r="E8" t="inlineStr">
        <is>
          <t>221</t>
        </is>
      </c>
      <c r="F8" t="inlineStr">
        <is>
          <t>Fenêtres et portes extérieures</t>
        </is>
      </c>
    </row>
    <row r="9">
      <c r="A9" t="inlineStr">
        <is>
          <t>Marge initiale visée (%)</t>
        </is>
      </c>
      <c r="B9" s="12" t="n">
        <v>0.054</v>
      </c>
      <c r="E9" t="inlineStr">
        <is>
          <t>222</t>
        </is>
      </c>
      <c r="F9" t="inlineStr">
        <is>
          <t>Fermetures, volets et stores</t>
        </is>
      </c>
    </row>
    <row r="10">
      <c r="A10" t="inlineStr">
        <is>
          <t>Durée totale du chantier (mois)</t>
        </is>
      </c>
      <c r="B10" s="13" t="n">
        <v>18</v>
      </c>
      <c r="E10" t="inlineStr">
        <is>
          <t>224</t>
        </is>
      </c>
      <c r="F10" t="inlineStr">
        <is>
          <t>Étanchéité toiture</t>
        </is>
      </c>
    </row>
    <row r="11" ht="20" customHeight="1">
      <c r="A11" s="7" t="inlineStr">
        <is>
          <t>TAUX ET RÈGLES FINANCIÈRES</t>
        </is>
      </c>
      <c r="B11" s="2" t="n"/>
      <c r="C11" s="2" t="n"/>
      <c r="E11" t="inlineStr">
        <is>
          <t>226</t>
        </is>
      </c>
      <c r="F11" t="inlineStr">
        <is>
          <t>Ferblanterie</t>
        </is>
      </c>
    </row>
    <row r="12">
      <c r="A12" t="inlineStr">
        <is>
          <t>Taux de TVA</t>
        </is>
      </c>
      <c r="B12" s="12" t="n">
        <v>0.081</v>
      </c>
      <c r="E12" t="inlineStr">
        <is>
          <t>228</t>
        </is>
      </c>
      <c r="F12" t="inlineStr">
        <is>
          <t>Isolation périphérique façade</t>
        </is>
      </c>
    </row>
    <row r="13">
      <c r="A13" t="inlineStr">
        <is>
          <t>Taux de retenue de garantie</t>
        </is>
      </c>
      <c r="B13" s="12" t="n">
        <v>0.1</v>
      </c>
      <c r="E13" t="inlineStr">
        <is>
          <t>230</t>
        </is>
      </c>
      <c r="F13" t="inlineStr">
        <is>
          <t>Installations électriques</t>
        </is>
      </c>
    </row>
    <row r="14">
      <c r="A14" t="inlineStr">
        <is>
          <t>Plafond de retenue (% du prix de vente)</t>
        </is>
      </c>
      <c r="B14" s="12" t="n">
        <v>0.02</v>
      </c>
      <c r="C14" s="14" t="inlineStr">
        <is>
          <t>usuel à la réception, selon contrat</t>
        </is>
      </c>
      <c r="E14" t="inlineStr">
        <is>
          <t>240</t>
        </is>
      </c>
      <c r="F14" t="inlineStr">
        <is>
          <t>Chauffage, ventilation, CVC</t>
        </is>
      </c>
    </row>
    <row r="15">
      <c r="E15" t="inlineStr">
        <is>
          <t>250</t>
        </is>
      </c>
      <c r="F15" t="inlineStr">
        <is>
          <t>Installations sanitaires</t>
        </is>
      </c>
    </row>
    <row r="16">
      <c r="E16" t="inlineStr">
        <is>
          <t>260</t>
        </is>
      </c>
      <c r="F16" t="inlineStr">
        <is>
          <t>Ascenseur</t>
        </is>
      </c>
    </row>
    <row r="17" ht="20" customHeight="1">
      <c r="A17" s="7" t="inlineStr">
        <is>
          <t>CALENDRIER DU CHANTIER (18 MOIS)</t>
        </is>
      </c>
      <c r="B17" s="2" t="n"/>
      <c r="C17" s="2" t="n"/>
      <c r="E17" t="inlineStr">
        <is>
          <t>271</t>
        </is>
      </c>
      <c r="F17" t="inlineStr">
        <is>
          <t>Plâtrerie</t>
        </is>
      </c>
    </row>
    <row r="18" ht="26" customHeight="1">
      <c r="A18" s="8" t="inlineStr">
        <is>
          <t>N°</t>
        </is>
      </c>
      <c r="B18" s="8" t="inlineStr">
        <is>
          <t>Mois</t>
        </is>
      </c>
      <c r="C18" s="8" t="inlineStr">
        <is>
          <t>Libellé</t>
        </is>
      </c>
      <c r="E18" t="inlineStr">
        <is>
          <t>272</t>
        </is>
      </c>
      <c r="F18" t="inlineStr">
        <is>
          <t>Serrurerie</t>
        </is>
      </c>
    </row>
    <row r="19">
      <c r="A19" t="n">
        <v>1</v>
      </c>
      <c r="B19" s="15" t="n">
        <v>46023</v>
      </c>
      <c r="C19" t="inlineStr">
        <is>
          <t>Janvier 2026</t>
        </is>
      </c>
      <c r="E19" t="inlineStr">
        <is>
          <t>273</t>
        </is>
      </c>
      <c r="F19" t="inlineStr">
        <is>
          <t>Menuiserie intérieure</t>
        </is>
      </c>
    </row>
    <row r="20">
      <c r="A20" t="n">
        <v>2</v>
      </c>
      <c r="B20" s="15" t="n">
        <v>46054</v>
      </c>
      <c r="C20" t="inlineStr">
        <is>
          <t>Février 2026</t>
        </is>
      </c>
      <c r="E20" t="inlineStr">
        <is>
          <t>281</t>
        </is>
      </c>
      <c r="F20" t="inlineStr">
        <is>
          <t>Chapes</t>
        </is>
      </c>
    </row>
    <row r="21">
      <c r="A21" t="n">
        <v>3</v>
      </c>
      <c r="B21" s="15" t="n">
        <v>46082</v>
      </c>
      <c r="C21" t="inlineStr">
        <is>
          <t>Mars 2026</t>
        </is>
      </c>
      <c r="E21" t="inlineStr">
        <is>
          <t>282</t>
        </is>
      </c>
      <c r="F21" t="inlineStr">
        <is>
          <t>Revêtements de sol</t>
        </is>
      </c>
    </row>
    <row r="22">
      <c r="A22" t="n">
        <v>4</v>
      </c>
      <c r="B22" s="15" t="n">
        <v>46113</v>
      </c>
      <c r="C22" t="inlineStr">
        <is>
          <t>Avril 2026</t>
        </is>
      </c>
      <c r="E22" t="inlineStr">
        <is>
          <t>284</t>
        </is>
      </c>
      <c r="F22" t="inlineStr">
        <is>
          <t>Carrelages</t>
        </is>
      </c>
    </row>
    <row r="23">
      <c r="A23" t="n">
        <v>5</v>
      </c>
      <c r="B23" s="15" t="n">
        <v>46143</v>
      </c>
      <c r="C23" t="inlineStr">
        <is>
          <t>Mai 2026</t>
        </is>
      </c>
      <c r="E23" t="inlineStr">
        <is>
          <t>285</t>
        </is>
      </c>
      <c r="F23" t="inlineStr">
        <is>
          <t>Peinture</t>
        </is>
      </c>
    </row>
    <row r="24">
      <c r="A24" t="n">
        <v>6</v>
      </c>
      <c r="B24" s="15" t="n">
        <v>46174</v>
      </c>
      <c r="C24" t="inlineStr">
        <is>
          <t>Juin 2026</t>
        </is>
      </c>
      <c r="E24" t="inlineStr">
        <is>
          <t>287</t>
        </is>
      </c>
      <c r="F24" t="inlineStr">
        <is>
          <t>Nettoyage de fin de chantier</t>
        </is>
      </c>
    </row>
    <row r="25">
      <c r="A25" t="n">
        <v>7</v>
      </c>
      <c r="B25" s="15" t="n">
        <v>46204</v>
      </c>
      <c r="C25" t="inlineStr">
        <is>
          <t>Juillet 2026</t>
        </is>
      </c>
      <c r="E25" t="inlineStr">
        <is>
          <t>299</t>
        </is>
      </c>
      <c r="F25" t="inlineStr">
        <is>
          <t>Divers, travaux imprévus (hors bordereau)</t>
        </is>
      </c>
    </row>
    <row r="26">
      <c r="A26" t="n">
        <v>8</v>
      </c>
      <c r="B26" s="15" t="n">
        <v>46235</v>
      </c>
      <c r="C26" t="inlineStr">
        <is>
          <t>Août 2026</t>
        </is>
      </c>
    </row>
    <row r="27">
      <c r="A27" t="n">
        <v>9</v>
      </c>
      <c r="B27" s="15" t="n">
        <v>46266</v>
      </c>
      <c r="C27" t="inlineStr">
        <is>
          <t>Septembre 2026</t>
        </is>
      </c>
    </row>
    <row r="28">
      <c r="A28" t="n">
        <v>10</v>
      </c>
      <c r="B28" s="15" t="n">
        <v>46296</v>
      </c>
      <c r="C28" t="inlineStr">
        <is>
          <t>Octobre 2026</t>
        </is>
      </c>
    </row>
    <row r="29">
      <c r="A29" t="n">
        <v>11</v>
      </c>
      <c r="B29" s="15" t="n">
        <v>46327</v>
      </c>
      <c r="C29" t="inlineStr">
        <is>
          <t>Novembre 2026</t>
        </is>
      </c>
    </row>
    <row r="30">
      <c r="A30" t="n">
        <v>12</v>
      </c>
      <c r="B30" s="15" t="n">
        <v>46357</v>
      </c>
      <c r="C30" t="inlineStr">
        <is>
          <t>Décembre 2026</t>
        </is>
      </c>
    </row>
    <row r="31">
      <c r="A31" t="n">
        <v>13</v>
      </c>
      <c r="B31" s="15" t="n">
        <v>46388</v>
      </c>
      <c r="C31" t="inlineStr">
        <is>
          <t>Janvier 2027</t>
        </is>
      </c>
    </row>
    <row r="32">
      <c r="A32" t="n">
        <v>14</v>
      </c>
      <c r="B32" s="15" t="n">
        <v>46419</v>
      </c>
      <c r="C32" t="inlineStr">
        <is>
          <t>Février 2027</t>
        </is>
      </c>
    </row>
    <row r="33">
      <c r="A33" t="n">
        <v>15</v>
      </c>
      <c r="B33" s="15" t="n">
        <v>46447</v>
      </c>
      <c r="C33" t="inlineStr">
        <is>
          <t>Mars 2027</t>
        </is>
      </c>
    </row>
    <row r="34">
      <c r="A34" t="n">
        <v>16</v>
      </c>
      <c r="B34" s="15" t="n">
        <v>46478</v>
      </c>
      <c r="C34" t="inlineStr">
        <is>
          <t>Avril 2027</t>
        </is>
      </c>
    </row>
    <row r="35">
      <c r="A35" t="n">
        <v>17</v>
      </c>
      <c r="B35" s="15" t="n">
        <v>46508</v>
      </c>
      <c r="C35" t="inlineStr">
        <is>
          <t>Mai 2027</t>
        </is>
      </c>
    </row>
    <row r="36">
      <c r="A36" t="n">
        <v>18</v>
      </c>
      <c r="B36" s="15" t="n">
        <v>46539</v>
      </c>
      <c r="C36" t="inlineStr">
        <is>
          <t>Juin 2027</t>
        </is>
      </c>
    </row>
  </sheetData>
  <mergeCells count="4">
    <mergeCell ref="A1:C1"/>
    <mergeCell ref="E1:F1"/>
    <mergeCell ref="A11:C11"/>
    <mergeCell ref="A17:C17"/>
  </mergeCells>
  <pageMargins left="0.75" right="0.75" top="1" bottom="1" header="0.5" footer="0.5"/>
  <pageSetup orientation="portrait" paperSize="9" fitToHeight="0" fitToWidth="1"/>
</worksheet>
</file>

<file path=xl/worksheets/sheet3.xml><?xml version="1.0" encoding="utf-8"?>
<worksheet xmlns="http://schemas.openxmlformats.org/spreadsheetml/2006/main">
  <sheetPr>
    <tabColor rgb="001F4E79"/>
    <outlinePr summaryBelow="1" summaryRight="1"/>
    <pageSetUpPr fitToPage="1"/>
  </sheetPr>
  <dimension ref="A1:L2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6" customWidth="1" min="3" max="3"/>
    <col width="14" customWidth="1" min="4" max="4"/>
    <col width="14" customWidth="1" min="5" max="5"/>
    <col width="14" customWidth="1" min="6" max="6"/>
    <col width="14" customWidth="1" min="7" max="7"/>
    <col width="16" customWidth="1" min="8" max="8"/>
    <col width="13" customWidth="1" min="9" max="9"/>
    <col width="15" customWidth="1" min="10" max="10"/>
    <col width="14" customWidth="1" min="11" max="11"/>
    <col width="10" customWidth="1" min="12" max="12"/>
  </cols>
  <sheetData>
    <row r="1" ht="30" customHeight="1">
      <c r="A1" s="1" t="inlineStr">
        <is>
          <t>BUDGET PAR POSITION CFC (VENTILATION SMIT)</t>
        </is>
      </c>
      <c r="B1" s="2" t="n"/>
      <c r="C1" s="2" t="n"/>
      <c r="D1" s="2" t="n"/>
      <c r="E1" s="2" t="n"/>
      <c r="F1" s="2" t="n"/>
      <c r="G1" s="2" t="n"/>
      <c r="H1" s="2" t="n"/>
      <c r="I1" s="2" t="n"/>
      <c r="J1" s="2" t="n"/>
      <c r="K1" s="2" t="n"/>
      <c r="L1" s="2" t="n"/>
    </row>
    <row r="3" ht="26" customHeight="1">
      <c r="A3" s="8" t="inlineStr">
        <is>
          <t>CFC</t>
        </is>
      </c>
      <c r="B3" s="8" t="inlineStr">
        <is>
          <t>Libellé</t>
        </is>
      </c>
      <c r="C3" s="8" t="inlineStr">
        <is>
          <t>Prix de vente adjugé</t>
        </is>
      </c>
      <c r="D3" s="8" t="inlineStr">
        <is>
          <t>Budget initial S</t>
        </is>
      </c>
      <c r="E3" s="8" t="inlineStr">
        <is>
          <t>Budget initial M</t>
        </is>
      </c>
      <c r="F3" s="8" t="inlineStr">
        <is>
          <t>Budget initial I</t>
        </is>
      </c>
      <c r="G3" s="8" t="inlineStr">
        <is>
          <t>Budget initial T</t>
        </is>
      </c>
      <c r="H3" s="8" t="inlineStr">
        <is>
          <t>Total ventilation SMIT</t>
        </is>
      </c>
      <c r="I3" s="8" t="inlineStr">
        <is>
          <t>Avenants budget</t>
        </is>
      </c>
      <c r="J3" s="8" t="inlineStr">
        <is>
          <t>Budget corrigé</t>
        </is>
      </c>
      <c r="K3" s="8" t="inlineStr">
        <is>
          <t>Marge initiale</t>
        </is>
      </c>
      <c r="L3" s="8" t="inlineStr">
        <is>
          <t>% Marge</t>
        </is>
      </c>
    </row>
    <row r="4">
      <c r="A4" s="9" t="inlineStr">
        <is>
          <t>201</t>
        </is>
      </c>
      <c r="B4" s="9" t="inlineStr">
        <is>
          <t>Fouilles et terrassements</t>
        </is>
      </c>
      <c r="C4" s="16" t="n">
        <v>652900</v>
      </c>
      <c r="D4" s="16" t="n">
        <v>214800</v>
      </c>
      <c r="E4" s="16" t="n">
        <v>184100</v>
      </c>
      <c r="F4" s="16" t="n">
        <v>122700</v>
      </c>
      <c r="G4" s="16" t="n">
        <v>92100</v>
      </c>
      <c r="H4" s="17">
        <f>SUM(D4:G4)</f>
        <v/>
      </c>
      <c r="I4" s="16" t="n">
        <v>0</v>
      </c>
      <c r="J4" s="17">
        <f>H4+I4</f>
        <v/>
      </c>
      <c r="K4" s="17">
        <f>C4-J4</f>
        <v/>
      </c>
      <c r="L4" s="18">
        <f>IF(C4=0,0,K4/C4)</f>
        <v/>
      </c>
    </row>
    <row r="5">
      <c r="A5" s="9" t="inlineStr">
        <is>
          <t>211</t>
        </is>
      </c>
      <c r="B5" s="9" t="inlineStr">
        <is>
          <t>Maçonnerie et béton armé</t>
        </is>
      </c>
      <c r="C5" s="16" t="n">
        <v>1218700</v>
      </c>
      <c r="D5" s="16" t="n">
        <v>401000</v>
      </c>
      <c r="E5" s="16" t="n">
        <v>343700</v>
      </c>
      <c r="F5" s="16" t="n">
        <v>229100</v>
      </c>
      <c r="G5" s="16" t="n">
        <v>171800</v>
      </c>
      <c r="H5" s="19">
        <f>SUM(D5:G5)</f>
        <v/>
      </c>
      <c r="I5" s="16" t="n">
        <v>30000</v>
      </c>
      <c r="J5" s="19">
        <f>H5+I5</f>
        <v/>
      </c>
      <c r="K5" s="19">
        <f>C5-J5</f>
        <v/>
      </c>
      <c r="L5" s="20">
        <f>IF(C5=0,0,K5/C5)</f>
        <v/>
      </c>
    </row>
    <row r="6">
      <c r="A6" s="9" t="inlineStr">
        <is>
          <t>212</t>
        </is>
      </c>
      <c r="B6" s="9" t="inlineStr">
        <is>
          <t>Dalles et planchers béton</t>
        </is>
      </c>
      <c r="C6" s="16" t="n">
        <v>522300</v>
      </c>
      <c r="D6" s="16" t="n">
        <v>171800</v>
      </c>
      <c r="E6" s="16" t="n">
        <v>147300</v>
      </c>
      <c r="F6" s="16" t="n">
        <v>98200</v>
      </c>
      <c r="G6" s="16" t="n">
        <v>73700</v>
      </c>
      <c r="H6" s="17">
        <f>SUM(D6:G6)</f>
        <v/>
      </c>
      <c r="I6" s="16" t="n">
        <v>0</v>
      </c>
      <c r="J6" s="17">
        <f>H6+I6</f>
        <v/>
      </c>
      <c r="K6" s="17">
        <f>C6-J6</f>
        <v/>
      </c>
      <c r="L6" s="18">
        <f>IF(C6=0,0,K6/C6)</f>
        <v/>
      </c>
    </row>
    <row r="7">
      <c r="A7" s="9" t="inlineStr">
        <is>
          <t>213</t>
        </is>
      </c>
      <c r="B7" s="9" t="inlineStr">
        <is>
          <t>Construction métallique</t>
        </is>
      </c>
      <c r="C7" s="16" t="n">
        <v>304700</v>
      </c>
      <c r="D7" s="16" t="n">
        <v>100200</v>
      </c>
      <c r="E7" s="16" t="n">
        <v>85900</v>
      </c>
      <c r="F7" s="16" t="n">
        <v>57300</v>
      </c>
      <c r="G7" s="16" t="n">
        <v>43000</v>
      </c>
      <c r="H7" s="19">
        <f>SUM(D7:G7)</f>
        <v/>
      </c>
      <c r="I7" s="16" t="n">
        <v>15000</v>
      </c>
      <c r="J7" s="19">
        <f>H7+I7</f>
        <v/>
      </c>
      <c r="K7" s="19">
        <f>C7-J7</f>
        <v/>
      </c>
      <c r="L7" s="20">
        <f>IF(C7=0,0,K7/C7)</f>
        <v/>
      </c>
    </row>
    <row r="8">
      <c r="A8" s="9" t="inlineStr">
        <is>
          <t>214</t>
        </is>
      </c>
      <c r="B8" s="9" t="inlineStr">
        <is>
          <t>Échafaudages</t>
        </is>
      </c>
      <c r="C8" s="16" t="n">
        <v>104500</v>
      </c>
      <c r="D8" s="16" t="n">
        <v>34400</v>
      </c>
      <c r="E8" s="16" t="n">
        <v>29500</v>
      </c>
      <c r="F8" s="16" t="n">
        <v>19600</v>
      </c>
      <c r="G8" s="16" t="n">
        <v>14700</v>
      </c>
      <c r="H8" s="17">
        <f>SUM(D8:G8)</f>
        <v/>
      </c>
      <c r="I8" s="16" t="n">
        <v>0</v>
      </c>
      <c r="J8" s="17">
        <f>H8+I8</f>
        <v/>
      </c>
      <c r="K8" s="17">
        <f>C8-J8</f>
        <v/>
      </c>
      <c r="L8" s="18">
        <f>IF(C8=0,0,K8/C8)</f>
        <v/>
      </c>
    </row>
    <row r="9">
      <c r="A9" s="9" t="inlineStr">
        <is>
          <t>221</t>
        </is>
      </c>
      <c r="B9" s="9" t="inlineStr">
        <is>
          <t>Fenêtres et portes extérieures</t>
        </is>
      </c>
      <c r="C9" s="16" t="n">
        <v>478800</v>
      </c>
      <c r="D9" s="16" t="n">
        <v>67500</v>
      </c>
      <c r="E9" s="16" t="n">
        <v>202500</v>
      </c>
      <c r="F9" s="16" t="n">
        <v>22500</v>
      </c>
      <c r="G9" s="16" t="n">
        <v>157600</v>
      </c>
      <c r="H9" s="19">
        <f>SUM(D9:G9)</f>
        <v/>
      </c>
      <c r="I9" s="16" t="n">
        <v>10000</v>
      </c>
      <c r="J9" s="19">
        <f>H9+I9</f>
        <v/>
      </c>
      <c r="K9" s="19">
        <f>C9-J9</f>
        <v/>
      </c>
      <c r="L9" s="20">
        <f>IF(C9=0,0,K9/C9)</f>
        <v/>
      </c>
    </row>
    <row r="10">
      <c r="A10" s="9" t="inlineStr">
        <is>
          <t>222</t>
        </is>
      </c>
      <c r="B10" s="9" t="inlineStr">
        <is>
          <t>Fermetures, volets et stores</t>
        </is>
      </c>
      <c r="C10" s="16" t="n">
        <v>130600</v>
      </c>
      <c r="D10" s="16" t="n">
        <v>18400</v>
      </c>
      <c r="E10" s="16" t="n">
        <v>55200</v>
      </c>
      <c r="F10" s="16" t="n">
        <v>6100</v>
      </c>
      <c r="G10" s="16" t="n">
        <v>43000</v>
      </c>
      <c r="H10" s="17">
        <f>SUM(D10:G10)</f>
        <v/>
      </c>
      <c r="I10" s="16" t="n">
        <v>0</v>
      </c>
      <c r="J10" s="17">
        <f>H10+I10</f>
        <v/>
      </c>
      <c r="K10" s="17">
        <f>C10-J10</f>
        <v/>
      </c>
      <c r="L10" s="18">
        <f>IF(C10=0,0,K10/C10)</f>
        <v/>
      </c>
    </row>
    <row r="11">
      <c r="A11" s="9" t="inlineStr">
        <is>
          <t>224</t>
        </is>
      </c>
      <c r="B11" s="9" t="inlineStr">
        <is>
          <t>Étanchéité toiture</t>
        </is>
      </c>
      <c r="C11" s="16" t="n">
        <v>217600</v>
      </c>
      <c r="D11" s="16" t="n">
        <v>30700</v>
      </c>
      <c r="E11" s="16" t="n">
        <v>92100</v>
      </c>
      <c r="F11" s="16" t="n">
        <v>10200</v>
      </c>
      <c r="G11" s="16" t="n">
        <v>71600</v>
      </c>
      <c r="H11" s="19">
        <f>SUM(D11:G11)</f>
        <v/>
      </c>
      <c r="I11" s="16" t="n">
        <v>0</v>
      </c>
      <c r="J11" s="19">
        <f>H11+I11</f>
        <v/>
      </c>
      <c r="K11" s="19">
        <f>C11-J11</f>
        <v/>
      </c>
      <c r="L11" s="20">
        <f>IF(C11=0,0,K11/C11)</f>
        <v/>
      </c>
    </row>
    <row r="12">
      <c r="A12" s="9" t="inlineStr">
        <is>
          <t>226</t>
        </is>
      </c>
      <c r="B12" s="9" t="inlineStr">
        <is>
          <t>Ferblanterie</t>
        </is>
      </c>
      <c r="C12" s="16" t="n">
        <v>104500</v>
      </c>
      <c r="D12" s="16" t="n">
        <v>14700</v>
      </c>
      <c r="E12" s="16" t="n">
        <v>44200</v>
      </c>
      <c r="F12" s="16" t="n">
        <v>4900</v>
      </c>
      <c r="G12" s="16" t="n">
        <v>34400</v>
      </c>
      <c r="H12" s="17">
        <f>SUM(D12:G12)</f>
        <v/>
      </c>
      <c r="I12" s="16" t="n">
        <v>0</v>
      </c>
      <c r="J12" s="17">
        <f>H12+I12</f>
        <v/>
      </c>
      <c r="K12" s="17">
        <f>C12-J12</f>
        <v/>
      </c>
      <c r="L12" s="18">
        <f>IF(C12=0,0,K12/C12)</f>
        <v/>
      </c>
    </row>
    <row r="13">
      <c r="A13" s="9" t="inlineStr">
        <is>
          <t>228</t>
        </is>
      </c>
      <c r="B13" s="9" t="inlineStr">
        <is>
          <t>Isolation périphérique façade</t>
        </is>
      </c>
      <c r="C13" s="16" t="n">
        <v>391700</v>
      </c>
      <c r="D13" s="16" t="n">
        <v>55200</v>
      </c>
      <c r="E13" s="16" t="n">
        <v>165700</v>
      </c>
      <c r="F13" s="16" t="n">
        <v>18400</v>
      </c>
      <c r="G13" s="16" t="n">
        <v>128900</v>
      </c>
      <c r="H13" s="19">
        <f>SUM(D13:G13)</f>
        <v/>
      </c>
      <c r="I13" s="16" t="n">
        <v>0</v>
      </c>
      <c r="J13" s="19">
        <f>H13+I13</f>
        <v/>
      </c>
      <c r="K13" s="19">
        <f>C13-J13</f>
        <v/>
      </c>
      <c r="L13" s="20">
        <f>IF(C13=0,0,K13/C13)</f>
        <v/>
      </c>
    </row>
    <row r="14">
      <c r="A14" s="9" t="inlineStr">
        <is>
          <t>230</t>
        </is>
      </c>
      <c r="B14" s="9" t="inlineStr">
        <is>
          <t>Installations électriques</t>
        </is>
      </c>
      <c r="C14" s="16" t="n">
        <v>652900</v>
      </c>
      <c r="D14" s="16" t="n">
        <v>30700</v>
      </c>
      <c r="E14" s="16" t="n">
        <v>61400</v>
      </c>
      <c r="F14" s="16" t="n">
        <v>12300</v>
      </c>
      <c r="G14" s="16" t="n">
        <v>509300</v>
      </c>
      <c r="H14" s="17">
        <f>SUM(D14:G14)</f>
        <v/>
      </c>
      <c r="I14" s="16" t="n">
        <v>0</v>
      </c>
      <c r="J14" s="17">
        <f>H14+I14</f>
        <v/>
      </c>
      <c r="K14" s="17">
        <f>C14-J14</f>
        <v/>
      </c>
      <c r="L14" s="18">
        <f>IF(C14=0,0,K14/C14)</f>
        <v/>
      </c>
    </row>
    <row r="15">
      <c r="A15" s="9" t="inlineStr">
        <is>
          <t>240</t>
        </is>
      </c>
      <c r="B15" s="9" t="inlineStr">
        <is>
          <t>Chauffage, ventilation, CVC</t>
        </is>
      </c>
      <c r="C15" s="16" t="n">
        <v>609400</v>
      </c>
      <c r="D15" s="16" t="n">
        <v>28600</v>
      </c>
      <c r="E15" s="16" t="n">
        <v>57300</v>
      </c>
      <c r="F15" s="16" t="n">
        <v>11500</v>
      </c>
      <c r="G15" s="16" t="n">
        <v>475400</v>
      </c>
      <c r="H15" s="19">
        <f>SUM(D15:G15)</f>
        <v/>
      </c>
      <c r="I15" s="16" t="n">
        <v>0</v>
      </c>
      <c r="J15" s="19">
        <f>H15+I15</f>
        <v/>
      </c>
      <c r="K15" s="19">
        <f>C15-J15</f>
        <v/>
      </c>
      <c r="L15" s="20">
        <f>IF(C15=0,0,K15/C15)</f>
        <v/>
      </c>
    </row>
    <row r="16">
      <c r="A16" s="9" t="inlineStr">
        <is>
          <t>250</t>
        </is>
      </c>
      <c r="B16" s="9" t="inlineStr">
        <is>
          <t>Installations sanitaires</t>
        </is>
      </c>
      <c r="C16" s="16" t="n">
        <v>522300</v>
      </c>
      <c r="D16" s="16" t="n">
        <v>24600</v>
      </c>
      <c r="E16" s="16" t="n">
        <v>49100</v>
      </c>
      <c r="F16" s="16" t="n">
        <v>9800</v>
      </c>
      <c r="G16" s="16" t="n">
        <v>407500</v>
      </c>
      <c r="H16" s="17">
        <f>SUM(D16:G16)</f>
        <v/>
      </c>
      <c r="I16" s="16" t="n">
        <v>0</v>
      </c>
      <c r="J16" s="17">
        <f>H16+I16</f>
        <v/>
      </c>
      <c r="K16" s="17">
        <f>C16-J16</f>
        <v/>
      </c>
      <c r="L16" s="18">
        <f>IF(C16=0,0,K16/C16)</f>
        <v/>
      </c>
    </row>
    <row r="17">
      <c r="A17" s="9" t="inlineStr">
        <is>
          <t>260</t>
        </is>
      </c>
      <c r="B17" s="9" t="inlineStr">
        <is>
          <t>Ascenseur</t>
        </is>
      </c>
      <c r="C17" s="16" t="n">
        <v>261200</v>
      </c>
      <c r="D17" s="16" t="n">
        <v>12300</v>
      </c>
      <c r="E17" s="16" t="n">
        <v>24600</v>
      </c>
      <c r="F17" s="16" t="n">
        <v>4900</v>
      </c>
      <c r="G17" s="16" t="n">
        <v>203700</v>
      </c>
      <c r="H17" s="19">
        <f>SUM(D17:G17)</f>
        <v/>
      </c>
      <c r="I17" s="16" t="n">
        <v>0</v>
      </c>
      <c r="J17" s="19">
        <f>H17+I17</f>
        <v/>
      </c>
      <c r="K17" s="19">
        <f>C17-J17</f>
        <v/>
      </c>
      <c r="L17" s="20">
        <f>IF(C17=0,0,K17/C17)</f>
        <v/>
      </c>
    </row>
    <row r="18">
      <c r="A18" s="9" t="inlineStr">
        <is>
          <t>271</t>
        </is>
      </c>
      <c r="B18" s="9" t="inlineStr">
        <is>
          <t>Plâtrerie</t>
        </is>
      </c>
      <c r="C18" s="16" t="n">
        <v>348200</v>
      </c>
      <c r="D18" s="16" t="n">
        <v>81800</v>
      </c>
      <c r="E18" s="16" t="n">
        <v>114600</v>
      </c>
      <c r="F18" s="16" t="n">
        <v>32700</v>
      </c>
      <c r="G18" s="16" t="n">
        <v>98200</v>
      </c>
      <c r="H18" s="17">
        <f>SUM(D18:G18)</f>
        <v/>
      </c>
      <c r="I18" s="16" t="n">
        <v>-5000</v>
      </c>
      <c r="J18" s="17">
        <f>H18+I18</f>
        <v/>
      </c>
      <c r="K18" s="17">
        <f>C18-J18</f>
        <v/>
      </c>
      <c r="L18" s="18">
        <f>IF(C18=0,0,K18/C18)</f>
        <v/>
      </c>
    </row>
    <row r="19">
      <c r="A19" s="9" t="inlineStr">
        <is>
          <t>272</t>
        </is>
      </c>
      <c r="B19" s="9" t="inlineStr">
        <is>
          <t>Serrurerie</t>
        </is>
      </c>
      <c r="C19" s="16" t="n">
        <v>174100</v>
      </c>
      <c r="D19" s="16" t="n">
        <v>40900</v>
      </c>
      <c r="E19" s="16" t="n">
        <v>57300</v>
      </c>
      <c r="F19" s="16" t="n">
        <v>16400</v>
      </c>
      <c r="G19" s="16" t="n">
        <v>49100</v>
      </c>
      <c r="H19" s="19">
        <f>SUM(D19:G19)</f>
        <v/>
      </c>
      <c r="I19" s="16" t="n">
        <v>0</v>
      </c>
      <c r="J19" s="19">
        <f>H19+I19</f>
        <v/>
      </c>
      <c r="K19" s="19">
        <f>C19-J19</f>
        <v/>
      </c>
      <c r="L19" s="20">
        <f>IF(C19=0,0,K19/C19)</f>
        <v/>
      </c>
    </row>
    <row r="20">
      <c r="A20" s="9" t="inlineStr">
        <is>
          <t>273</t>
        </is>
      </c>
      <c r="B20" s="9" t="inlineStr">
        <is>
          <t>Menuiserie intérieure</t>
        </is>
      </c>
      <c r="C20" s="16" t="n">
        <v>304700</v>
      </c>
      <c r="D20" s="16" t="n">
        <v>71600</v>
      </c>
      <c r="E20" s="16" t="n">
        <v>100200</v>
      </c>
      <c r="F20" s="16" t="n">
        <v>28600</v>
      </c>
      <c r="G20" s="16" t="n">
        <v>86000</v>
      </c>
      <c r="H20" s="17">
        <f>SUM(D20:G20)</f>
        <v/>
      </c>
      <c r="I20" s="16" t="n">
        <v>0</v>
      </c>
      <c r="J20" s="17">
        <f>H20+I20</f>
        <v/>
      </c>
      <c r="K20" s="17">
        <f>C20-J20</f>
        <v/>
      </c>
      <c r="L20" s="18">
        <f>IF(C20=0,0,K20/C20)</f>
        <v/>
      </c>
    </row>
    <row r="21">
      <c r="A21" s="9" t="inlineStr">
        <is>
          <t>281</t>
        </is>
      </c>
      <c r="B21" s="9" t="inlineStr">
        <is>
          <t>Chapes</t>
        </is>
      </c>
      <c r="C21" s="16" t="n">
        <v>217600</v>
      </c>
      <c r="D21" s="16" t="n">
        <v>51200</v>
      </c>
      <c r="E21" s="16" t="n">
        <v>71600</v>
      </c>
      <c r="F21" s="16" t="n">
        <v>20500</v>
      </c>
      <c r="G21" s="16" t="n">
        <v>61300</v>
      </c>
      <c r="H21" s="19">
        <f>SUM(D21:G21)</f>
        <v/>
      </c>
      <c r="I21" s="16" t="n">
        <v>0</v>
      </c>
      <c r="J21" s="19">
        <f>H21+I21</f>
        <v/>
      </c>
      <c r="K21" s="19">
        <f>C21-J21</f>
        <v/>
      </c>
      <c r="L21" s="20">
        <f>IF(C21=0,0,K21/C21)</f>
        <v/>
      </c>
    </row>
    <row r="22">
      <c r="A22" s="9" t="inlineStr">
        <is>
          <t>282</t>
        </is>
      </c>
      <c r="B22" s="9" t="inlineStr">
        <is>
          <t>Revêtements de sol</t>
        </is>
      </c>
      <c r="C22" s="16" t="n">
        <v>304700</v>
      </c>
      <c r="D22" s="16" t="n">
        <v>71600</v>
      </c>
      <c r="E22" s="16" t="n">
        <v>100200</v>
      </c>
      <c r="F22" s="16" t="n">
        <v>28600</v>
      </c>
      <c r="G22" s="16" t="n">
        <v>86000</v>
      </c>
      <c r="H22" s="17">
        <f>SUM(D22:G22)</f>
        <v/>
      </c>
      <c r="I22" s="16" t="n">
        <v>0</v>
      </c>
      <c r="J22" s="17">
        <f>H22+I22</f>
        <v/>
      </c>
      <c r="K22" s="17">
        <f>C22-J22</f>
        <v/>
      </c>
      <c r="L22" s="18">
        <f>IF(C22=0,0,K22/C22)</f>
        <v/>
      </c>
    </row>
    <row r="23">
      <c r="A23" s="9" t="inlineStr">
        <is>
          <t>284</t>
        </is>
      </c>
      <c r="B23" s="9" t="inlineStr">
        <is>
          <t>Carrelages</t>
        </is>
      </c>
      <c r="C23" s="16" t="n">
        <v>174100</v>
      </c>
      <c r="D23" s="16" t="n">
        <v>40900</v>
      </c>
      <c r="E23" s="16" t="n">
        <v>57300</v>
      </c>
      <c r="F23" s="16" t="n">
        <v>16400</v>
      </c>
      <c r="G23" s="16" t="n">
        <v>49100</v>
      </c>
      <c r="H23" s="19">
        <f>SUM(D23:G23)</f>
        <v/>
      </c>
      <c r="I23" s="16" t="n">
        <v>0</v>
      </c>
      <c r="J23" s="19">
        <f>H23+I23</f>
        <v/>
      </c>
      <c r="K23" s="19">
        <f>C23-J23</f>
        <v/>
      </c>
      <c r="L23" s="20">
        <f>IF(C23=0,0,K23/C23)</f>
        <v/>
      </c>
    </row>
    <row r="24">
      <c r="A24" s="9" t="inlineStr">
        <is>
          <t>285</t>
        </is>
      </c>
      <c r="B24" s="9" t="inlineStr">
        <is>
          <t>Peinture</t>
        </is>
      </c>
      <c r="C24" s="16" t="n">
        <v>217600</v>
      </c>
      <c r="D24" s="16" t="n">
        <v>51200</v>
      </c>
      <c r="E24" s="16" t="n">
        <v>71600</v>
      </c>
      <c r="F24" s="16" t="n">
        <v>20500</v>
      </c>
      <c r="G24" s="16" t="n">
        <v>61300</v>
      </c>
      <c r="H24" s="17">
        <f>SUM(D24:G24)</f>
        <v/>
      </c>
      <c r="I24" s="16" t="n">
        <v>0</v>
      </c>
      <c r="J24" s="17">
        <f>H24+I24</f>
        <v/>
      </c>
      <c r="K24" s="17">
        <f>C24-J24</f>
        <v/>
      </c>
      <c r="L24" s="18">
        <f>IF(C24=0,0,K24/C24)</f>
        <v/>
      </c>
    </row>
    <row r="25">
      <c r="A25" s="9" t="inlineStr">
        <is>
          <t>287</t>
        </is>
      </c>
      <c r="B25" s="9" t="inlineStr">
        <is>
          <t>Nettoyage de fin de chantier</t>
        </is>
      </c>
      <c r="C25" s="16" t="n">
        <v>86900</v>
      </c>
      <c r="D25" s="16" t="n">
        <v>20400</v>
      </c>
      <c r="E25" s="16" t="n">
        <v>28600</v>
      </c>
      <c r="F25" s="16" t="n">
        <v>8200</v>
      </c>
      <c r="G25" s="16" t="n">
        <v>24400</v>
      </c>
      <c r="H25" s="19">
        <f>SUM(D25:G25)</f>
        <v/>
      </c>
      <c r="I25" s="16" t="n">
        <v>0</v>
      </c>
      <c r="J25" s="19">
        <f>H25+I25</f>
        <v/>
      </c>
      <c r="K25" s="19">
        <f>C25-J25</f>
        <v/>
      </c>
      <c r="L25" s="20">
        <f>IF(C25=0,0,K25/C25)</f>
        <v/>
      </c>
    </row>
    <row r="26">
      <c r="A26" s="21" t="inlineStr">
        <is>
          <t>TOTAL</t>
        </is>
      </c>
      <c r="B26" s="21" t="inlineStr">
        <is>
          <t>Toutes positions CFC</t>
        </is>
      </c>
      <c r="C26" s="22">
        <f>SUM(C4:C25)</f>
        <v/>
      </c>
      <c r="D26" s="22">
        <f>SUM(D4:D25)</f>
        <v/>
      </c>
      <c r="E26" s="22">
        <f>SUM(E4:E25)</f>
        <v/>
      </c>
      <c r="F26" s="22">
        <f>SUM(F4:F25)</f>
        <v/>
      </c>
      <c r="G26" s="22">
        <f>SUM(G4:G25)</f>
        <v/>
      </c>
      <c r="H26" s="22">
        <f>SUM(H4:H25)</f>
        <v/>
      </c>
      <c r="I26" s="22">
        <f>SUM(I4:I25)</f>
        <v/>
      </c>
      <c r="J26" s="22">
        <f>SUM(J4:J25)</f>
        <v/>
      </c>
      <c r="K26" s="22">
        <f>SUM(K4:K25)</f>
        <v/>
      </c>
      <c r="L26" s="23">
        <f>IF(C26=0,0,K26/C26)</f>
        <v/>
      </c>
    </row>
    <row r="28">
      <c r="A28" t="inlineStr">
        <is>
          <t>Contrôle : colonne Total ventilation (H) intacte, non écrasée par une valeur collée ?</t>
        </is>
      </c>
      <c r="G28" s="24">
        <f>IF(ROUND(SUMPRODUCT(ABS(H4:H25-(D4:D25+E4:E25+F4:F25+G4:G25))),2)=0,"OK","ERREUR")</f>
        <v/>
      </c>
    </row>
  </sheetData>
  <mergeCells count="2">
    <mergeCell ref="A28:F28"/>
    <mergeCell ref="A1:L1"/>
  </mergeCells>
  <conditionalFormatting sqref="G28">
    <cfRule type="cellIs" priority="1" operator="equal" dxfId="0">
      <formula>"ERREUR"</formula>
    </cfRule>
    <cfRule type="cellIs" priority="2" operator="equal" dxfId="1">
      <formula>"OK"</formula>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1F4E79"/>
    <outlinePr summaryBelow="1" summaryRight="1"/>
    <pageSetUpPr fitToPage="1"/>
  </sheetPr>
  <dimension ref="A1:G8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4" customWidth="1" min="3" max="3"/>
    <col width="14" customWidth="1" min="4" max="4"/>
    <col width="14" customWidth="1" min="5" max="5"/>
    <col width="15" customWidth="1" min="6" max="6"/>
    <col width="16" customWidth="1" min="7" max="7"/>
  </cols>
  <sheetData>
    <row r="1" ht="30" customHeight="1">
      <c r="A1" s="1" t="inlineStr">
        <is>
          <t>ENGAGEMENTS (CONTRATS, COMMANDES, AVENANTS)</t>
        </is>
      </c>
      <c r="B1" s="2" t="n"/>
      <c r="C1" s="2" t="n"/>
      <c r="D1" s="2" t="n"/>
      <c r="E1" s="2" t="n"/>
      <c r="F1" s="2" t="n"/>
      <c r="G1" s="2" t="n"/>
    </row>
    <row r="3" ht="20" customHeight="1">
      <c r="A3" s="25" t="inlineStr">
        <is>
          <t>Récapitulatif par position CFC</t>
        </is>
      </c>
      <c r="B3" s="2" t="n"/>
      <c r="C3" s="2" t="n"/>
      <c r="D3" s="2" t="n"/>
      <c r="E3" s="2" t="n"/>
      <c r="F3" s="2" t="n"/>
      <c r="G3" s="2" t="n"/>
    </row>
    <row r="4" ht="26" customHeight="1">
      <c r="A4" s="8" t="inlineStr">
        <is>
          <t>CFC</t>
        </is>
      </c>
      <c r="B4" s="8" t="inlineStr">
        <is>
          <t>Libellé</t>
        </is>
      </c>
      <c r="C4" s="8" t="inlineStr">
        <is>
          <t>Budget corrigé</t>
        </is>
      </c>
      <c r="D4" s="8" t="inlineStr">
        <is>
          <t>Engagé total</t>
        </is>
      </c>
      <c r="E4" s="8" t="inlineStr">
        <is>
          <t>Écart</t>
        </is>
      </c>
      <c r="F4" s="8" t="inlineStr">
        <is>
          <t>% Engagé</t>
        </is>
      </c>
    </row>
    <row r="5">
      <c r="A5" s="26">
        <f>'Budget'!A4</f>
        <v/>
      </c>
      <c r="B5" s="27">
        <f>'Budget'!B4</f>
        <v/>
      </c>
      <c r="C5" s="17">
        <f>Budget!$J4</f>
        <v/>
      </c>
      <c r="D5" s="17">
        <f>SUMIFS($F$32:$F$82,$D$32:$D$82,A5)</f>
        <v/>
      </c>
      <c r="E5" s="17">
        <f>C5-D5</f>
        <v/>
      </c>
      <c r="F5" s="18">
        <f>IF(C5=0,0,D5/C5)</f>
        <v/>
      </c>
    </row>
    <row r="6">
      <c r="A6" s="28">
        <f>'Budget'!A5</f>
        <v/>
      </c>
      <c r="B6" s="29">
        <f>'Budget'!B5</f>
        <v/>
      </c>
      <c r="C6" s="19">
        <f>Budget!$J5</f>
        <v/>
      </c>
      <c r="D6" s="19">
        <f>SUMIFS($F$32:$F$82,$D$32:$D$82,A6)</f>
        <v/>
      </c>
      <c r="E6" s="19">
        <f>C6-D6</f>
        <v/>
      </c>
      <c r="F6" s="20">
        <f>IF(C6=0,0,D6/C6)</f>
        <v/>
      </c>
    </row>
    <row r="7">
      <c r="A7" s="26">
        <f>'Budget'!A6</f>
        <v/>
      </c>
      <c r="B7" s="27">
        <f>'Budget'!B6</f>
        <v/>
      </c>
      <c r="C7" s="17">
        <f>Budget!$J6</f>
        <v/>
      </c>
      <c r="D7" s="17">
        <f>SUMIFS($F$32:$F$82,$D$32:$D$82,A7)</f>
        <v/>
      </c>
      <c r="E7" s="17">
        <f>C7-D7</f>
        <v/>
      </c>
      <c r="F7" s="18">
        <f>IF(C7=0,0,D7/C7)</f>
        <v/>
      </c>
    </row>
    <row r="8">
      <c r="A8" s="28">
        <f>'Budget'!A7</f>
        <v/>
      </c>
      <c r="B8" s="29">
        <f>'Budget'!B7</f>
        <v/>
      </c>
      <c r="C8" s="19">
        <f>Budget!$J7</f>
        <v/>
      </c>
      <c r="D8" s="19">
        <f>SUMIFS($F$32:$F$82,$D$32:$D$82,A8)</f>
        <v/>
      </c>
      <c r="E8" s="19">
        <f>C8-D8</f>
        <v/>
      </c>
      <c r="F8" s="20">
        <f>IF(C8=0,0,D8/C8)</f>
        <v/>
      </c>
    </row>
    <row r="9">
      <c r="A9" s="26">
        <f>'Budget'!A8</f>
        <v/>
      </c>
      <c r="B9" s="27">
        <f>'Budget'!B8</f>
        <v/>
      </c>
      <c r="C9" s="17">
        <f>Budget!$J8</f>
        <v/>
      </c>
      <c r="D9" s="17">
        <f>SUMIFS($F$32:$F$82,$D$32:$D$82,A9)</f>
        <v/>
      </c>
      <c r="E9" s="17">
        <f>C9-D9</f>
        <v/>
      </c>
      <c r="F9" s="18">
        <f>IF(C9=0,0,D9/C9)</f>
        <v/>
      </c>
    </row>
    <row r="10">
      <c r="A10" s="28">
        <f>'Budget'!A9</f>
        <v/>
      </c>
      <c r="B10" s="29">
        <f>'Budget'!B9</f>
        <v/>
      </c>
      <c r="C10" s="19">
        <f>Budget!$J9</f>
        <v/>
      </c>
      <c r="D10" s="19">
        <f>SUMIFS($F$32:$F$82,$D$32:$D$82,A10)</f>
        <v/>
      </c>
      <c r="E10" s="19">
        <f>C10-D10</f>
        <v/>
      </c>
      <c r="F10" s="20">
        <f>IF(C10=0,0,D10/C10)</f>
        <v/>
      </c>
    </row>
    <row r="11">
      <c r="A11" s="26">
        <f>'Budget'!A10</f>
        <v/>
      </c>
      <c r="B11" s="27">
        <f>'Budget'!B10</f>
        <v/>
      </c>
      <c r="C11" s="17">
        <f>Budget!$J10</f>
        <v/>
      </c>
      <c r="D11" s="17">
        <f>SUMIFS($F$32:$F$82,$D$32:$D$82,A11)</f>
        <v/>
      </c>
      <c r="E11" s="17">
        <f>C11-D11</f>
        <v/>
      </c>
      <c r="F11" s="18">
        <f>IF(C11=0,0,D11/C11)</f>
        <v/>
      </c>
    </row>
    <row r="12">
      <c r="A12" s="28">
        <f>'Budget'!A11</f>
        <v/>
      </c>
      <c r="B12" s="29">
        <f>'Budget'!B11</f>
        <v/>
      </c>
      <c r="C12" s="19">
        <f>Budget!$J11</f>
        <v/>
      </c>
      <c r="D12" s="19">
        <f>SUMIFS($F$32:$F$82,$D$32:$D$82,A12)</f>
        <v/>
      </c>
      <c r="E12" s="19">
        <f>C12-D12</f>
        <v/>
      </c>
      <c r="F12" s="20">
        <f>IF(C12=0,0,D12/C12)</f>
        <v/>
      </c>
    </row>
    <row r="13">
      <c r="A13" s="26">
        <f>'Budget'!A12</f>
        <v/>
      </c>
      <c r="B13" s="27">
        <f>'Budget'!B12</f>
        <v/>
      </c>
      <c r="C13" s="17">
        <f>Budget!$J12</f>
        <v/>
      </c>
      <c r="D13" s="17">
        <f>SUMIFS($F$32:$F$82,$D$32:$D$82,A13)</f>
        <v/>
      </c>
      <c r="E13" s="17">
        <f>C13-D13</f>
        <v/>
      </c>
      <c r="F13" s="18">
        <f>IF(C13=0,0,D13/C13)</f>
        <v/>
      </c>
    </row>
    <row r="14">
      <c r="A14" s="28">
        <f>'Budget'!A13</f>
        <v/>
      </c>
      <c r="B14" s="29">
        <f>'Budget'!B13</f>
        <v/>
      </c>
      <c r="C14" s="19">
        <f>Budget!$J13</f>
        <v/>
      </c>
      <c r="D14" s="19">
        <f>SUMIFS($F$32:$F$82,$D$32:$D$82,A14)</f>
        <v/>
      </c>
      <c r="E14" s="19">
        <f>C14-D14</f>
        <v/>
      </c>
      <c r="F14" s="20">
        <f>IF(C14=0,0,D14/C14)</f>
        <v/>
      </c>
    </row>
    <row r="15">
      <c r="A15" s="26">
        <f>'Budget'!A14</f>
        <v/>
      </c>
      <c r="B15" s="27">
        <f>'Budget'!B14</f>
        <v/>
      </c>
      <c r="C15" s="17">
        <f>Budget!$J14</f>
        <v/>
      </c>
      <c r="D15" s="17">
        <f>SUMIFS($F$32:$F$82,$D$32:$D$82,A15)</f>
        <v/>
      </c>
      <c r="E15" s="17">
        <f>C15-D15</f>
        <v/>
      </c>
      <c r="F15" s="18">
        <f>IF(C15=0,0,D15/C15)</f>
        <v/>
      </c>
    </row>
    <row r="16">
      <c r="A16" s="28">
        <f>'Budget'!A15</f>
        <v/>
      </c>
      <c r="B16" s="29">
        <f>'Budget'!B15</f>
        <v/>
      </c>
      <c r="C16" s="19">
        <f>Budget!$J15</f>
        <v/>
      </c>
      <c r="D16" s="19">
        <f>SUMIFS($F$32:$F$82,$D$32:$D$82,A16)</f>
        <v/>
      </c>
      <c r="E16" s="19">
        <f>C16-D16</f>
        <v/>
      </c>
      <c r="F16" s="20">
        <f>IF(C16=0,0,D16/C16)</f>
        <v/>
      </c>
    </row>
    <row r="17">
      <c r="A17" s="26">
        <f>'Budget'!A16</f>
        <v/>
      </c>
      <c r="B17" s="27">
        <f>'Budget'!B16</f>
        <v/>
      </c>
      <c r="C17" s="17">
        <f>Budget!$J16</f>
        <v/>
      </c>
      <c r="D17" s="17">
        <f>SUMIFS($F$32:$F$82,$D$32:$D$82,A17)</f>
        <v/>
      </c>
      <c r="E17" s="17">
        <f>C17-D17</f>
        <v/>
      </c>
      <c r="F17" s="18">
        <f>IF(C17=0,0,D17/C17)</f>
        <v/>
      </c>
    </row>
    <row r="18">
      <c r="A18" s="28">
        <f>'Budget'!A17</f>
        <v/>
      </c>
      <c r="B18" s="29">
        <f>'Budget'!B17</f>
        <v/>
      </c>
      <c r="C18" s="19">
        <f>Budget!$J17</f>
        <v/>
      </c>
      <c r="D18" s="19">
        <f>SUMIFS($F$32:$F$82,$D$32:$D$82,A18)</f>
        <v/>
      </c>
      <c r="E18" s="19">
        <f>C18-D18</f>
        <v/>
      </c>
      <c r="F18" s="20">
        <f>IF(C18=0,0,D18/C18)</f>
        <v/>
      </c>
    </row>
    <row r="19">
      <c r="A19" s="26">
        <f>'Budget'!A18</f>
        <v/>
      </c>
      <c r="B19" s="27">
        <f>'Budget'!B18</f>
        <v/>
      </c>
      <c r="C19" s="17">
        <f>Budget!$J18</f>
        <v/>
      </c>
      <c r="D19" s="17">
        <f>SUMIFS($F$32:$F$82,$D$32:$D$82,A19)</f>
        <v/>
      </c>
      <c r="E19" s="17">
        <f>C19-D19</f>
        <v/>
      </c>
      <c r="F19" s="18">
        <f>IF(C19=0,0,D19/C19)</f>
        <v/>
      </c>
    </row>
    <row r="20">
      <c r="A20" s="28">
        <f>'Budget'!A19</f>
        <v/>
      </c>
      <c r="B20" s="29">
        <f>'Budget'!B19</f>
        <v/>
      </c>
      <c r="C20" s="19">
        <f>Budget!$J19</f>
        <v/>
      </c>
      <c r="D20" s="19">
        <f>SUMIFS($F$32:$F$82,$D$32:$D$82,A20)</f>
        <v/>
      </c>
      <c r="E20" s="19">
        <f>C20-D20</f>
        <v/>
      </c>
      <c r="F20" s="20">
        <f>IF(C20=0,0,D20/C20)</f>
        <v/>
      </c>
    </row>
    <row r="21">
      <c r="A21" s="26">
        <f>'Budget'!A20</f>
        <v/>
      </c>
      <c r="B21" s="27">
        <f>'Budget'!B20</f>
        <v/>
      </c>
      <c r="C21" s="17">
        <f>Budget!$J20</f>
        <v/>
      </c>
      <c r="D21" s="17">
        <f>SUMIFS($F$32:$F$82,$D$32:$D$82,A21)</f>
        <v/>
      </c>
      <c r="E21" s="17">
        <f>C21-D21</f>
        <v/>
      </c>
      <c r="F21" s="18">
        <f>IF(C21=0,0,D21/C21)</f>
        <v/>
      </c>
    </row>
    <row r="22">
      <c r="A22" s="28">
        <f>'Budget'!A21</f>
        <v/>
      </c>
      <c r="B22" s="29">
        <f>'Budget'!B21</f>
        <v/>
      </c>
      <c r="C22" s="19">
        <f>Budget!$J21</f>
        <v/>
      </c>
      <c r="D22" s="19">
        <f>SUMIFS($F$32:$F$82,$D$32:$D$82,A22)</f>
        <v/>
      </c>
      <c r="E22" s="19">
        <f>C22-D22</f>
        <v/>
      </c>
      <c r="F22" s="20">
        <f>IF(C22=0,0,D22/C22)</f>
        <v/>
      </c>
    </row>
    <row r="23">
      <c r="A23" s="26">
        <f>'Budget'!A22</f>
        <v/>
      </c>
      <c r="B23" s="27">
        <f>'Budget'!B22</f>
        <v/>
      </c>
      <c r="C23" s="17">
        <f>Budget!$J22</f>
        <v/>
      </c>
      <c r="D23" s="17">
        <f>SUMIFS($F$32:$F$82,$D$32:$D$82,A23)</f>
        <v/>
      </c>
      <c r="E23" s="17">
        <f>C23-D23</f>
        <v/>
      </c>
      <c r="F23" s="18">
        <f>IF(C23=0,0,D23/C23)</f>
        <v/>
      </c>
    </row>
    <row r="24">
      <c r="A24" s="28">
        <f>'Budget'!A23</f>
        <v/>
      </c>
      <c r="B24" s="29">
        <f>'Budget'!B23</f>
        <v/>
      </c>
      <c r="C24" s="19">
        <f>Budget!$J23</f>
        <v/>
      </c>
      <c r="D24" s="19">
        <f>SUMIFS($F$32:$F$82,$D$32:$D$82,A24)</f>
        <v/>
      </c>
      <c r="E24" s="19">
        <f>C24-D24</f>
        <v/>
      </c>
      <c r="F24" s="20">
        <f>IF(C24=0,0,D24/C24)</f>
        <v/>
      </c>
    </row>
    <row r="25">
      <c r="A25" s="26">
        <f>'Budget'!A24</f>
        <v/>
      </c>
      <c r="B25" s="27">
        <f>'Budget'!B24</f>
        <v/>
      </c>
      <c r="C25" s="17">
        <f>Budget!$J24</f>
        <v/>
      </c>
      <c r="D25" s="17">
        <f>SUMIFS($F$32:$F$82,$D$32:$D$82,A25)</f>
        <v/>
      </c>
      <c r="E25" s="17">
        <f>C25-D25</f>
        <v/>
      </c>
      <c r="F25" s="18">
        <f>IF(C25=0,0,D25/C25)</f>
        <v/>
      </c>
    </row>
    <row r="26">
      <c r="A26" s="28">
        <f>'Budget'!A25</f>
        <v/>
      </c>
      <c r="B26" s="29">
        <f>'Budget'!B25</f>
        <v/>
      </c>
      <c r="C26" s="19">
        <f>Budget!$J25</f>
        <v/>
      </c>
      <c r="D26" s="19">
        <f>SUMIFS($F$32:$F$82,$D$32:$D$82,A26)</f>
        <v/>
      </c>
      <c r="E26" s="19">
        <f>C26-D26</f>
        <v/>
      </c>
      <c r="F26" s="20">
        <f>IF(C26=0,0,D26/C26)</f>
        <v/>
      </c>
    </row>
    <row r="27">
      <c r="A27" s="24" t="inlineStr">
        <is>
          <t>299</t>
        </is>
      </c>
      <c r="B27" s="30" t="inlineStr">
        <is>
          <t>Divers, travaux imprévus (hors bordereau)</t>
        </is>
      </c>
      <c r="C27" s="17" t="n">
        <v>0</v>
      </c>
      <c r="D27" s="17">
        <f>SUMIFS($F$32:$F$82,$D$32:$D$82,A27)</f>
        <v/>
      </c>
      <c r="E27" s="17">
        <f>C27-D27</f>
        <v/>
      </c>
      <c r="F27" s="18">
        <f>IF(C27=0,0,D27/C27)</f>
        <v/>
      </c>
    </row>
    <row r="28">
      <c r="A28" s="21" t="inlineStr">
        <is>
          <t>TOTAL</t>
        </is>
      </c>
      <c r="B28" s="21" t="inlineStr">
        <is>
          <t>Toutes positions CFC, hors bordereau inclus</t>
        </is>
      </c>
      <c r="C28" s="31">
        <f>SUM(C5:C27)</f>
        <v/>
      </c>
      <c r="D28" s="31">
        <f>SUM(D5:D27)</f>
        <v/>
      </c>
      <c r="E28" s="31">
        <f>SUM(E5:E27)</f>
        <v/>
      </c>
      <c r="F28" s="32">
        <f>IF(C28=0,0,D28/C28)</f>
        <v/>
      </c>
    </row>
    <row r="30" ht="20" customHeight="1">
      <c r="A30" s="25" t="inlineStr">
        <is>
          <t>Journal des engagements</t>
        </is>
      </c>
      <c r="B30" s="2" t="n"/>
      <c r="C30" s="2" t="n"/>
      <c r="D30" s="2" t="n"/>
      <c r="E30" s="2" t="n"/>
      <c r="F30" s="2" t="n"/>
      <c r="G30" s="2" t="n"/>
    </row>
    <row r="31" ht="26" customHeight="1">
      <c r="A31" s="8" t="inlineStr">
        <is>
          <t>Date</t>
        </is>
      </c>
      <c r="B31" s="8" t="inlineStr">
        <is>
          <t>Fournisseur / sous-traitant</t>
        </is>
      </c>
      <c r="C31" s="8" t="inlineStr">
        <is>
          <t>Description</t>
        </is>
      </c>
      <c r="D31" s="8" t="inlineStr">
        <is>
          <t>CFC</t>
        </is>
      </c>
      <c r="E31" s="8" t="inlineStr">
        <is>
          <t>Famille SMIT</t>
        </is>
      </c>
      <c r="F31" s="8" t="inlineStr">
        <is>
          <t>Montant engagé</t>
        </is>
      </c>
      <c r="G31" s="8" t="inlineStr">
        <is>
          <t>Type</t>
        </is>
      </c>
    </row>
    <row r="32">
      <c r="A32" s="10" t="n">
        <v>46037</v>
      </c>
      <c r="B32" s="9" t="inlineStr">
        <is>
          <t>Terrassement Dupont SA</t>
        </is>
      </c>
      <c r="C32" s="9" t="inlineStr">
        <is>
          <t>Fouilles générales et évacuation</t>
        </is>
      </c>
      <c r="D32" s="9" t="inlineStr">
        <is>
          <t>201</t>
        </is>
      </c>
      <c r="E32" s="9" t="inlineStr">
        <is>
          <t>T</t>
        </is>
      </c>
      <c r="F32" s="16" t="n">
        <v>420000</v>
      </c>
      <c r="G32" s="9" t="inlineStr">
        <is>
          <t>contrat initial</t>
        </is>
      </c>
    </row>
    <row r="33">
      <c r="A33" s="10" t="n">
        <v>46054</v>
      </c>
      <c r="B33" s="9" t="inlineStr">
        <is>
          <t>Béton Frais Vaudois SA</t>
        </is>
      </c>
      <c r="C33" s="9" t="inlineStr">
        <is>
          <t>Fourniture béton et armatures</t>
        </is>
      </c>
      <c r="D33" s="9" t="inlineStr">
        <is>
          <t>211</t>
        </is>
      </c>
      <c r="E33" s="9" t="inlineStr">
        <is>
          <t>M</t>
        </is>
      </c>
      <c r="F33" s="16" t="n">
        <v>850000</v>
      </c>
      <c r="G33" s="9" t="inlineStr">
        <is>
          <t>contrat initial</t>
        </is>
      </c>
    </row>
    <row r="34">
      <c r="A34" s="10" t="n">
        <v>46082</v>
      </c>
      <c r="B34" s="9" t="inlineStr">
        <is>
          <t>Coffrages Romands Sarl</t>
        </is>
      </c>
      <c r="C34" s="9" t="inlineStr">
        <is>
          <t>Location coffrages voiles et dalles</t>
        </is>
      </c>
      <c r="D34" s="9" t="inlineStr">
        <is>
          <t>211</t>
        </is>
      </c>
      <c r="E34" s="9" t="inlineStr">
        <is>
          <t>I</t>
        </is>
      </c>
      <c r="F34" s="16" t="n">
        <v>180000</v>
      </c>
      <c r="G34" s="9" t="inlineStr">
        <is>
          <t>commande</t>
        </is>
      </c>
    </row>
    <row r="35">
      <c r="A35" s="10" t="n">
        <v>46127</v>
      </c>
      <c r="B35" s="9" t="inlineStr">
        <is>
          <t>Béton Frais Vaudois SA</t>
        </is>
      </c>
      <c r="C35" s="9" t="inlineStr">
        <is>
          <t>Renfort armature suite étude de sol</t>
        </is>
      </c>
      <c r="D35" s="9" t="inlineStr">
        <is>
          <t>211</t>
        </is>
      </c>
      <c r="E35" s="9" t="inlineStr">
        <is>
          <t>M</t>
        </is>
      </c>
      <c r="F35" s="16" t="n">
        <v>200000</v>
      </c>
      <c r="G35" s="9" t="inlineStr">
        <is>
          <t>avenant</t>
        </is>
      </c>
    </row>
    <row r="36">
      <c r="A36" s="10" t="n">
        <v>46143</v>
      </c>
      <c r="B36" s="9" t="inlineStr">
        <is>
          <t>Métal Constructions SA</t>
        </is>
      </c>
      <c r="C36" s="9" t="inlineStr">
        <is>
          <t>Charpente métallique et acier</t>
        </is>
      </c>
      <c r="D36" s="9" t="inlineStr">
        <is>
          <t>213</t>
        </is>
      </c>
      <c r="E36" s="9" t="inlineStr">
        <is>
          <t>T</t>
        </is>
      </c>
      <c r="F36" s="16" t="n">
        <v>260000</v>
      </c>
      <c r="G36" s="9" t="inlineStr">
        <is>
          <t>contrat initial</t>
        </is>
      </c>
    </row>
    <row r="37">
      <c r="A37" s="10" t="n">
        <v>46183</v>
      </c>
      <c r="B37" s="9" t="inlineStr">
        <is>
          <t>Métal Constructions SA</t>
        </is>
      </c>
      <c r="C37" s="9" t="inlineStr">
        <is>
          <t>Passerelle accès complémentaire</t>
        </is>
      </c>
      <c r="D37" s="9" t="inlineStr">
        <is>
          <t>213</t>
        </is>
      </c>
      <c r="E37" s="9" t="inlineStr">
        <is>
          <t>T</t>
        </is>
      </c>
      <c r="F37" s="16" t="n">
        <v>55000</v>
      </c>
      <c r="G37" s="9" t="inlineStr">
        <is>
          <t>avenant</t>
        </is>
      </c>
    </row>
    <row r="38">
      <c r="A38" s="10" t="n">
        <v>46162</v>
      </c>
      <c r="B38" s="9" t="inlineStr">
        <is>
          <t>Menuiserie Alu Lémanique Sarl</t>
        </is>
      </c>
      <c r="C38" s="9" t="inlineStr">
        <is>
          <t>Fenêtres et portes-fenêtres alu</t>
        </is>
      </c>
      <c r="D38" s="9" t="inlineStr">
        <is>
          <t>221</t>
        </is>
      </c>
      <c r="E38" s="9" t="inlineStr">
        <is>
          <t>T</t>
        </is>
      </c>
      <c r="F38" s="16" t="n">
        <v>410000</v>
      </c>
      <c r="G38" s="9" t="inlineStr">
        <is>
          <t>contrat initial</t>
        </is>
      </c>
    </row>
    <row r="39">
      <c r="A39" s="10" t="n">
        <v>46174</v>
      </c>
      <c r="B39" s="9" t="inlineStr">
        <is>
          <t>Étanch'Toit SA</t>
        </is>
      </c>
      <c r="C39" s="9" t="inlineStr">
        <is>
          <t>Étanchéité toiture plate</t>
        </is>
      </c>
      <c r="D39" s="9" t="inlineStr">
        <is>
          <t>224</t>
        </is>
      </c>
      <c r="E39" s="9" t="inlineStr">
        <is>
          <t>T</t>
        </is>
      </c>
      <c r="F39" s="16" t="n">
        <v>195000</v>
      </c>
      <c r="G39" s="9" t="inlineStr">
        <is>
          <t>contrat initial</t>
        </is>
      </c>
    </row>
    <row r="40">
      <c r="A40" s="10" t="n">
        <v>46188</v>
      </c>
      <c r="B40" s="9" t="inlineStr">
        <is>
          <t>Isolfaçade Sarl</t>
        </is>
      </c>
      <c r="C40" s="9" t="inlineStr">
        <is>
          <t>Isolation périph. et crépi façade</t>
        </is>
      </c>
      <c r="D40" s="9" t="inlineStr">
        <is>
          <t>228</t>
        </is>
      </c>
      <c r="E40" s="9" t="inlineStr">
        <is>
          <t>T</t>
        </is>
      </c>
      <c r="F40" s="16" t="n">
        <v>340000</v>
      </c>
      <c r="G40" s="9" t="inlineStr">
        <is>
          <t>contrat initial</t>
        </is>
      </c>
    </row>
    <row r="41">
      <c r="A41" s="10" t="n">
        <v>46054</v>
      </c>
      <c r="B41" s="9" t="inlineStr">
        <is>
          <t>Élec Plus SA</t>
        </is>
      </c>
      <c r="C41" s="9" t="inlineStr">
        <is>
          <t>Installations électriques courant fort/faible</t>
        </is>
      </c>
      <c r="D41" s="9" t="inlineStr">
        <is>
          <t>230</t>
        </is>
      </c>
      <c r="E41" s="9" t="inlineStr">
        <is>
          <t>T</t>
        </is>
      </c>
      <c r="F41" s="16" t="n">
        <v>560000</v>
      </c>
      <c r="G41" s="9" t="inlineStr">
        <is>
          <t>contrat initial</t>
        </is>
      </c>
    </row>
    <row r="42">
      <c r="A42" s="10" t="n">
        <v>46204</v>
      </c>
      <c r="B42" s="9" t="inlineStr">
        <is>
          <t>Élec Plus SA</t>
        </is>
      </c>
      <c r="C42" s="9" t="inlineStr">
        <is>
          <t>Complément tableaux électriques</t>
        </is>
      </c>
      <c r="D42" s="9" t="inlineStr">
        <is>
          <t>230</t>
        </is>
      </c>
      <c r="E42" s="9" t="inlineStr">
        <is>
          <t>M</t>
        </is>
      </c>
      <c r="F42" s="16" t="n">
        <v>25000</v>
      </c>
      <c r="G42" s="9" t="inlineStr">
        <is>
          <t>commande</t>
        </is>
      </c>
    </row>
    <row r="43">
      <c r="A43" s="10" t="n">
        <v>46082</v>
      </c>
      <c r="B43" s="9" t="inlineStr">
        <is>
          <t>Thermoclim Sarl</t>
        </is>
      </c>
      <c r="C43" s="9" t="inlineStr">
        <is>
          <t>Production chaleur et ventilation CVC</t>
        </is>
      </c>
      <c r="D43" s="9" t="inlineStr">
        <is>
          <t>240</t>
        </is>
      </c>
      <c r="E43" s="9" t="inlineStr">
        <is>
          <t>T</t>
        </is>
      </c>
      <c r="F43" s="16" t="n">
        <v>540000</v>
      </c>
      <c r="G43" s="9" t="inlineStr">
        <is>
          <t>contrat initial</t>
        </is>
      </c>
    </row>
    <row r="44">
      <c r="A44" s="10" t="n">
        <v>46096</v>
      </c>
      <c r="B44" s="9" t="inlineStr">
        <is>
          <t>Sanit Plus SA</t>
        </is>
      </c>
      <c r="C44" s="9" t="inlineStr">
        <is>
          <t>Installations sanitaires</t>
        </is>
      </c>
      <c r="D44" s="9" t="inlineStr">
        <is>
          <t>250</t>
        </is>
      </c>
      <c r="E44" s="9" t="inlineStr">
        <is>
          <t>T</t>
        </is>
      </c>
      <c r="F44" s="16" t="n">
        <v>465000</v>
      </c>
      <c r="G44" s="9" t="inlineStr">
        <is>
          <t>contrat initial</t>
        </is>
      </c>
    </row>
    <row r="45">
      <c r="A45" s="10" t="n">
        <v>46113</v>
      </c>
      <c r="B45" s="9" t="inlineStr">
        <is>
          <t>Ascenseurs Suisse SA</t>
        </is>
      </c>
      <c r="C45" s="9" t="inlineStr">
        <is>
          <t>Fourniture et pose ascenseur</t>
        </is>
      </c>
      <c r="D45" s="9" t="inlineStr">
        <is>
          <t>260</t>
        </is>
      </c>
      <c r="E45" s="9" t="inlineStr">
        <is>
          <t>T</t>
        </is>
      </c>
      <c r="F45" s="16" t="n">
        <v>240000</v>
      </c>
      <c r="G45" s="9" t="inlineStr">
        <is>
          <t>contrat initial</t>
        </is>
      </c>
    </row>
    <row r="46">
      <c r="A46" s="10" t="n">
        <v>46174</v>
      </c>
      <c r="B46" s="9" t="inlineStr">
        <is>
          <t>Plâtrerie Générale Sarl</t>
        </is>
      </c>
      <c r="C46" s="9" t="inlineStr">
        <is>
          <t>Cloisons et faux-plafonds</t>
        </is>
      </c>
      <c r="D46" s="9" t="inlineStr">
        <is>
          <t>271</t>
        </is>
      </c>
      <c r="E46" s="9" t="inlineStr">
        <is>
          <t>T</t>
        </is>
      </c>
      <c r="F46" s="16" t="n">
        <v>300000</v>
      </c>
      <c r="G46" s="9" t="inlineStr">
        <is>
          <t>contrat initial</t>
        </is>
      </c>
    </row>
    <row r="47">
      <c r="A47" s="10" t="n">
        <v>46204</v>
      </c>
      <c r="B47" s="9" t="inlineStr">
        <is>
          <t>Serrurerie Métal Art SA</t>
        </is>
      </c>
      <c r="C47" s="9" t="inlineStr">
        <is>
          <t>Portes palières et mains courantes</t>
        </is>
      </c>
      <c r="D47" s="9" t="inlineStr">
        <is>
          <t>272</t>
        </is>
      </c>
      <c r="E47" s="9" t="inlineStr">
        <is>
          <t>T</t>
        </is>
      </c>
      <c r="F47" s="16" t="n">
        <v>150000</v>
      </c>
      <c r="G47" s="9" t="inlineStr">
        <is>
          <t>contrat initial</t>
        </is>
      </c>
    </row>
    <row r="48">
      <c r="A48" s="10" t="n">
        <v>46218</v>
      </c>
      <c r="B48" s="9" t="inlineStr">
        <is>
          <t>Menuiserie Bois Intérieur Sarl</t>
        </is>
      </c>
      <c r="C48" s="9" t="inlineStr">
        <is>
          <t>Portes intérieures et agencements</t>
        </is>
      </c>
      <c r="D48" s="9" t="inlineStr">
        <is>
          <t>273</t>
        </is>
      </c>
      <c r="E48" s="9" t="inlineStr">
        <is>
          <t>T</t>
        </is>
      </c>
      <c r="F48" s="16" t="n">
        <v>270000</v>
      </c>
      <c r="G48" s="9" t="inlineStr">
        <is>
          <t>contrat initial</t>
        </is>
      </c>
    </row>
    <row r="49">
      <c r="A49" s="10" t="n">
        <v>46193</v>
      </c>
      <c r="B49" s="9" t="inlineStr">
        <is>
          <t>Chapes Rapides SA</t>
        </is>
      </c>
      <c r="C49" s="9" t="inlineStr">
        <is>
          <t>Chapes ciment tous niveaux</t>
        </is>
      </c>
      <c r="D49" s="9" t="inlineStr">
        <is>
          <t>281</t>
        </is>
      </c>
      <c r="E49" s="9" t="inlineStr">
        <is>
          <t>T</t>
        </is>
      </c>
      <c r="F49" s="16" t="n">
        <v>190000</v>
      </c>
      <c r="G49" s="9" t="inlineStr">
        <is>
          <t>contrat initial</t>
        </is>
      </c>
    </row>
    <row r="50">
      <c r="A50" s="10" t="n">
        <v>46223</v>
      </c>
      <c r="B50" s="9" t="inlineStr">
        <is>
          <t>Sols Design Sarl</t>
        </is>
      </c>
      <c r="C50" s="9" t="inlineStr">
        <is>
          <t>Parquet et revêtements de sol</t>
        </is>
      </c>
      <c r="D50" s="9" t="inlineStr">
        <is>
          <t>282</t>
        </is>
      </c>
      <c r="E50" s="9" t="inlineStr">
        <is>
          <t>T</t>
        </is>
      </c>
      <c r="F50" s="16" t="n">
        <v>260000</v>
      </c>
      <c r="G50" s="9" t="inlineStr">
        <is>
          <t>contrat initial</t>
        </is>
      </c>
    </row>
    <row r="51">
      <c r="A51" s="10" t="n">
        <v>46235</v>
      </c>
      <c r="B51" s="9" t="inlineStr">
        <is>
          <t>Peinture Facile Sarl</t>
        </is>
      </c>
      <c r="C51" s="9" t="inlineStr">
        <is>
          <t>Peinture intérieure première couche</t>
        </is>
      </c>
      <c r="D51" s="9" t="inlineStr">
        <is>
          <t>285</t>
        </is>
      </c>
      <c r="E51" s="9" t="inlineStr">
        <is>
          <t>T</t>
        </is>
      </c>
      <c r="F51" s="16" t="n">
        <v>95000</v>
      </c>
      <c r="G51" s="9" t="inlineStr">
        <is>
          <t>contrat initial</t>
        </is>
      </c>
    </row>
    <row r="52">
      <c r="A52" s="10" t="n">
        <v>46228</v>
      </c>
      <c r="B52" s="9" t="inlineStr">
        <is>
          <t>Divers Sarl</t>
        </is>
      </c>
      <c r="C52" s="9" t="inlineStr">
        <is>
          <t>Travaux imprévus divers hors bordereau</t>
        </is>
      </c>
      <c r="D52" s="9" t="inlineStr">
        <is>
          <t>299</t>
        </is>
      </c>
      <c r="E52" s="9" t="inlineStr">
        <is>
          <t>S</t>
        </is>
      </c>
      <c r="F52" s="16" t="n">
        <v>8500</v>
      </c>
      <c r="G52" s="9" t="inlineStr">
        <is>
          <t>commande</t>
        </is>
      </c>
    </row>
    <row r="53">
      <c r="A53" s="10" t="n"/>
      <c r="B53" s="9" t="n"/>
      <c r="C53" s="9" t="n"/>
      <c r="D53" s="9" t="n"/>
      <c r="E53" s="9" t="n"/>
      <c r="F53" s="11" t="n"/>
      <c r="G53" s="9" t="n"/>
    </row>
    <row r="54">
      <c r="A54" s="10" t="n"/>
      <c r="B54" s="9" t="n"/>
      <c r="C54" s="9" t="n"/>
      <c r="D54" s="9" t="n"/>
      <c r="E54" s="9" t="n"/>
      <c r="F54" s="11" t="n"/>
      <c r="G54" s="9" t="n"/>
    </row>
    <row r="55">
      <c r="A55" s="10" t="n"/>
      <c r="B55" s="9" t="n"/>
      <c r="C55" s="9" t="n"/>
      <c r="D55" s="9" t="n"/>
      <c r="E55" s="9" t="n"/>
      <c r="F55" s="11" t="n"/>
      <c r="G55" s="9" t="n"/>
    </row>
    <row r="56">
      <c r="A56" s="10" t="n"/>
      <c r="B56" s="9" t="n"/>
      <c r="C56" s="9" t="n"/>
      <c r="D56" s="9" t="n"/>
      <c r="E56" s="9" t="n"/>
      <c r="F56" s="11" t="n"/>
      <c r="G56" s="9" t="n"/>
    </row>
    <row r="57">
      <c r="A57" s="10" t="n"/>
      <c r="B57" s="9" t="n"/>
      <c r="C57" s="9" t="n"/>
      <c r="D57" s="9" t="n"/>
      <c r="E57" s="9" t="n"/>
      <c r="F57" s="11" t="n"/>
      <c r="G57" s="9" t="n"/>
    </row>
    <row r="58">
      <c r="A58" s="10" t="n"/>
      <c r="B58" s="9" t="n"/>
      <c r="C58" s="9" t="n"/>
      <c r="D58" s="9" t="n"/>
      <c r="E58" s="9" t="n"/>
      <c r="F58" s="11" t="n"/>
      <c r="G58" s="9" t="n"/>
    </row>
    <row r="59">
      <c r="A59" s="10" t="n"/>
      <c r="B59" s="9" t="n"/>
      <c r="C59" s="9" t="n"/>
      <c r="D59" s="9" t="n"/>
      <c r="E59" s="9" t="n"/>
      <c r="F59" s="11" t="n"/>
      <c r="G59" s="9" t="n"/>
    </row>
    <row r="60">
      <c r="A60" s="10" t="n"/>
      <c r="B60" s="9" t="n"/>
      <c r="C60" s="9" t="n"/>
      <c r="D60" s="9" t="n"/>
      <c r="E60" s="9" t="n"/>
      <c r="F60" s="11" t="n"/>
      <c r="G60" s="9" t="n"/>
    </row>
    <row r="61">
      <c r="A61" s="10" t="n"/>
      <c r="B61" s="9" t="n"/>
      <c r="C61" s="9" t="n"/>
      <c r="D61" s="9" t="n"/>
      <c r="E61" s="9" t="n"/>
      <c r="F61" s="11" t="n"/>
      <c r="G61" s="9" t="n"/>
    </row>
    <row r="62">
      <c r="A62" s="10" t="n"/>
      <c r="B62" s="9" t="n"/>
      <c r="C62" s="9" t="n"/>
      <c r="D62" s="9" t="n"/>
      <c r="E62" s="9" t="n"/>
      <c r="F62" s="11" t="n"/>
      <c r="G62" s="9" t="n"/>
    </row>
    <row r="63">
      <c r="A63" s="10" t="n"/>
      <c r="B63" s="9" t="n"/>
      <c r="C63" s="9" t="n"/>
      <c r="D63" s="9" t="n"/>
      <c r="E63" s="9" t="n"/>
      <c r="F63" s="11" t="n"/>
      <c r="G63" s="9" t="n"/>
    </row>
    <row r="64">
      <c r="A64" s="10" t="n"/>
      <c r="B64" s="9" t="n"/>
      <c r="C64" s="9" t="n"/>
      <c r="D64" s="9" t="n"/>
      <c r="E64" s="9" t="n"/>
      <c r="F64" s="11" t="n"/>
      <c r="G64" s="9" t="n"/>
    </row>
    <row r="65">
      <c r="A65" s="10" t="n"/>
      <c r="B65" s="9" t="n"/>
      <c r="C65" s="9" t="n"/>
      <c r="D65" s="9" t="n"/>
      <c r="E65" s="9" t="n"/>
      <c r="F65" s="11" t="n"/>
      <c r="G65" s="9" t="n"/>
    </row>
    <row r="66">
      <c r="A66" s="10" t="n"/>
      <c r="B66" s="9" t="n"/>
      <c r="C66" s="9" t="n"/>
      <c r="D66" s="9" t="n"/>
      <c r="E66" s="9" t="n"/>
      <c r="F66" s="11" t="n"/>
      <c r="G66" s="9" t="n"/>
    </row>
    <row r="67">
      <c r="A67" s="10" t="n"/>
      <c r="B67" s="9" t="n"/>
      <c r="C67" s="9" t="n"/>
      <c r="D67" s="9" t="n"/>
      <c r="E67" s="9" t="n"/>
      <c r="F67" s="11" t="n"/>
      <c r="G67" s="9" t="n"/>
    </row>
    <row r="68">
      <c r="A68" s="10" t="n"/>
      <c r="B68" s="9" t="n"/>
      <c r="C68" s="9" t="n"/>
      <c r="D68" s="9" t="n"/>
      <c r="E68" s="9" t="n"/>
      <c r="F68" s="11" t="n"/>
      <c r="G68" s="9" t="n"/>
    </row>
    <row r="69">
      <c r="A69" s="10" t="n"/>
      <c r="B69" s="9" t="n"/>
      <c r="C69" s="9" t="n"/>
      <c r="D69" s="9" t="n"/>
      <c r="E69" s="9" t="n"/>
      <c r="F69" s="11" t="n"/>
      <c r="G69" s="9" t="n"/>
    </row>
    <row r="70">
      <c r="A70" s="10" t="n"/>
      <c r="B70" s="9" t="n"/>
      <c r="C70" s="9" t="n"/>
      <c r="D70" s="9" t="n"/>
      <c r="E70" s="9" t="n"/>
      <c r="F70" s="11" t="n"/>
      <c r="G70" s="9" t="n"/>
    </row>
    <row r="71">
      <c r="A71" s="10" t="n"/>
      <c r="B71" s="9" t="n"/>
      <c r="C71" s="9" t="n"/>
      <c r="D71" s="9" t="n"/>
      <c r="E71" s="9" t="n"/>
      <c r="F71" s="11" t="n"/>
      <c r="G71" s="9" t="n"/>
    </row>
    <row r="72">
      <c r="A72" s="10" t="n"/>
      <c r="B72" s="9" t="n"/>
      <c r="C72" s="9" t="n"/>
      <c r="D72" s="9" t="n"/>
      <c r="E72" s="9" t="n"/>
      <c r="F72" s="11" t="n"/>
      <c r="G72" s="9" t="n"/>
    </row>
    <row r="73">
      <c r="A73" s="10" t="n"/>
      <c r="B73" s="9" t="n"/>
      <c r="C73" s="9" t="n"/>
      <c r="D73" s="9" t="n"/>
      <c r="E73" s="9" t="n"/>
      <c r="F73" s="11" t="n"/>
      <c r="G73" s="9" t="n"/>
    </row>
    <row r="74">
      <c r="A74" s="10" t="n"/>
      <c r="B74" s="9" t="n"/>
      <c r="C74" s="9" t="n"/>
      <c r="D74" s="9" t="n"/>
      <c r="E74" s="9" t="n"/>
      <c r="F74" s="11" t="n"/>
      <c r="G74" s="9" t="n"/>
    </row>
    <row r="75">
      <c r="A75" s="10" t="n"/>
      <c r="B75" s="9" t="n"/>
      <c r="C75" s="9" t="n"/>
      <c r="D75" s="9" t="n"/>
      <c r="E75" s="9" t="n"/>
      <c r="F75" s="11" t="n"/>
      <c r="G75" s="9" t="n"/>
    </row>
    <row r="76">
      <c r="A76" s="10" t="n"/>
      <c r="B76" s="9" t="n"/>
      <c r="C76" s="9" t="n"/>
      <c r="D76" s="9" t="n"/>
      <c r="E76" s="9" t="n"/>
      <c r="F76" s="11" t="n"/>
      <c r="G76" s="9" t="n"/>
    </row>
    <row r="77">
      <c r="A77" s="10" t="n"/>
      <c r="B77" s="9" t="n"/>
      <c r="C77" s="9" t="n"/>
      <c r="D77" s="9" t="n"/>
      <c r="E77" s="9" t="n"/>
      <c r="F77" s="11" t="n"/>
      <c r="G77" s="9" t="n"/>
    </row>
    <row r="78">
      <c r="A78" s="10" t="n"/>
      <c r="B78" s="9" t="n"/>
      <c r="C78" s="9" t="n"/>
      <c r="D78" s="9" t="n"/>
      <c r="E78" s="9" t="n"/>
      <c r="F78" s="11" t="n"/>
      <c r="G78" s="9" t="n"/>
    </row>
    <row r="79">
      <c r="A79" s="10" t="n"/>
      <c r="B79" s="9" t="n"/>
      <c r="C79" s="9" t="n"/>
      <c r="D79" s="9" t="n"/>
      <c r="E79" s="9" t="n"/>
      <c r="F79" s="11" t="n"/>
      <c r="G79" s="9" t="n"/>
    </row>
    <row r="80">
      <c r="A80" s="10" t="n"/>
      <c r="B80" s="9" t="n"/>
      <c r="C80" s="9" t="n"/>
      <c r="D80" s="9" t="n"/>
      <c r="E80" s="9" t="n"/>
      <c r="F80" s="11" t="n"/>
      <c r="G80" s="9" t="n"/>
    </row>
    <row r="81">
      <c r="A81" s="10" t="n"/>
      <c r="B81" s="9" t="n"/>
      <c r="C81" s="9" t="n"/>
      <c r="D81" s="9" t="n"/>
      <c r="E81" s="9" t="n"/>
      <c r="F81" s="11" t="n"/>
      <c r="G81" s="9" t="n"/>
    </row>
    <row r="82">
      <c r="A82" s="10" t="n"/>
      <c r="B82" s="9" t="n"/>
      <c r="C82" s="9" t="n"/>
      <c r="D82" s="9" t="n"/>
      <c r="E82" s="9" t="n"/>
      <c r="F82" s="11" t="n"/>
      <c r="G82" s="9" t="n"/>
    </row>
  </sheetData>
  <mergeCells count="3">
    <mergeCell ref="A3:G3"/>
    <mergeCell ref="A30:G30"/>
    <mergeCell ref="A1:G1"/>
  </mergeCells>
  <dataValidations count="3">
    <dataValidation sqref="D32:D82" showDropDown="0" showInputMessage="0" showErrorMessage="1" allowBlank="1" errorTitle="Valeur invalide" error="Choisis une valeur dans la liste déroulante." type="list">
      <formula1>=Parametres!$E$3:$E$25</formula1>
    </dataValidation>
    <dataValidation sqref="E32:E82" showDropDown="0" showInputMessage="0" showErrorMessage="1" allowBlank="1" errorTitle="Valeur invalide" error="Choisis une valeur dans la liste déroulante." type="list">
      <formula1>"S,M,I,T"</formula1>
    </dataValidation>
    <dataValidation sqref="G32:G82" showDropDown="0" showInputMessage="0" showErrorMessage="1" allowBlank="1" errorTitle="Valeur invalide" error="Choisis une valeur dans la liste déroulante." type="list">
      <formula1>"contrat initial,avenant,commande"</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1F4E79"/>
    <outlinePr summaryBelow="1" summaryRight="1"/>
    <pageSetUpPr fitToPage="1"/>
  </sheetPr>
  <dimension ref="A1:J2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6" customWidth="1" min="4" max="4"/>
    <col width="14" customWidth="1" min="5" max="5"/>
    <col width="12" customWidth="1" min="6" max="6"/>
    <col width="14" customWidth="1" min="7" max="7"/>
    <col width="8" customWidth="1" min="8" max="8"/>
    <col width="14" customWidth="1" min="9" max="9"/>
    <col width="15" customWidth="1" min="10" max="10"/>
  </cols>
  <sheetData>
    <row r="1" ht="30" customHeight="1">
      <c r="A1" s="1" t="inlineStr">
        <is>
          <t>FACTURATION, SITUATIONS MENSUELLES AU MAÎTRE D'OUVRAGE</t>
        </is>
      </c>
      <c r="B1" s="2" t="n"/>
      <c r="C1" s="2" t="n"/>
      <c r="D1" s="2" t="n"/>
      <c r="E1" s="2" t="n"/>
      <c r="F1" s="2" t="n"/>
      <c r="G1" s="2" t="n"/>
      <c r="H1" s="2" t="n"/>
      <c r="I1" s="2" t="n"/>
      <c r="J1" s="2" t="n"/>
    </row>
    <row r="3" ht="26" customHeight="1">
      <c r="A3" s="8" t="inlineStr">
        <is>
          <t>Mois</t>
        </is>
      </c>
      <c r="B3" s="8" t="inlineStr">
        <is>
          <t>N° situation</t>
        </is>
      </c>
      <c r="C3" s="8" t="inlineStr">
        <is>
          <t>Montant HT situation</t>
        </is>
      </c>
      <c r="D3" s="8" t="inlineStr">
        <is>
          <t>Retenue de garantie 10%</t>
        </is>
      </c>
      <c r="E3" s="8" t="inlineStr">
        <is>
          <t>Net HT</t>
        </is>
      </c>
      <c r="F3" s="8" t="inlineStr">
        <is>
          <t>TVA 8.1%</t>
        </is>
      </c>
      <c r="G3" s="8" t="inlineStr">
        <is>
          <t>TTC</t>
        </is>
      </c>
      <c r="H3" s="8" t="inlineStr">
        <is>
          <t>Payé</t>
        </is>
      </c>
      <c r="I3" s="8" t="inlineStr">
        <is>
          <t>Date de paiement</t>
        </is>
      </c>
      <c r="J3" s="8" t="inlineStr">
        <is>
          <t>Facturé cumulé</t>
        </is>
      </c>
    </row>
    <row r="4">
      <c r="A4" s="10" t="n">
        <v>46023</v>
      </c>
      <c r="B4" s="9" t="n">
        <v>1</v>
      </c>
      <c r="C4" s="16" t="n">
        <v>60000</v>
      </c>
      <c r="D4" s="17">
        <f>MAX(0,MIN(C4*Parametres!$B$13,(Parametres!$B$8*Parametres!$B$14)))</f>
        <v/>
      </c>
      <c r="E4" s="17">
        <f>C4-D4</f>
        <v/>
      </c>
      <c r="F4" s="17">
        <f>E4*Parametres!$B$12</f>
        <v/>
      </c>
      <c r="G4" s="17">
        <f>E4+F4</f>
        <v/>
      </c>
      <c r="H4" s="9" t="inlineStr">
        <is>
          <t>Oui</t>
        </is>
      </c>
      <c r="I4" s="10" t="n">
        <v>46083</v>
      </c>
      <c r="J4" s="17">
        <f>SUM($C$4:C4)</f>
        <v/>
      </c>
    </row>
    <row r="5">
      <c r="A5" s="10" t="n">
        <v>46054</v>
      </c>
      <c r="B5" s="9" t="n">
        <v>2</v>
      </c>
      <c r="C5" s="16" t="n">
        <v>140000</v>
      </c>
      <c r="D5" s="19">
        <f>MAX(0,MIN(C5*Parametres!$B$13,(Parametres!$B$8*Parametres!$B$14-SUM($D$4:D4))))</f>
        <v/>
      </c>
      <c r="E5" s="19">
        <f>C5-D5</f>
        <v/>
      </c>
      <c r="F5" s="19">
        <f>E5*Parametres!$B$12</f>
        <v/>
      </c>
      <c r="G5" s="19">
        <f>E5+F5</f>
        <v/>
      </c>
      <c r="H5" s="9" t="inlineStr">
        <is>
          <t>Oui</t>
        </is>
      </c>
      <c r="I5" s="10" t="n">
        <v>46111</v>
      </c>
      <c r="J5" s="19">
        <f>SUM($C$4:C5)</f>
        <v/>
      </c>
    </row>
    <row r="6">
      <c r="A6" s="10" t="n">
        <v>46082</v>
      </c>
      <c r="B6" s="9" t="n">
        <v>3</v>
      </c>
      <c r="C6" s="16" t="n">
        <v>310000</v>
      </c>
      <c r="D6" s="17">
        <f>MAX(0,MIN(C6*Parametres!$B$13,(Parametres!$B$8*Parametres!$B$14-SUM($D$4:D5))))</f>
        <v/>
      </c>
      <c r="E6" s="17">
        <f>C6-D6</f>
        <v/>
      </c>
      <c r="F6" s="17">
        <f>E6*Parametres!$B$12</f>
        <v/>
      </c>
      <c r="G6" s="17">
        <f>E6+F6</f>
        <v/>
      </c>
      <c r="H6" s="9" t="inlineStr">
        <is>
          <t>Oui</t>
        </is>
      </c>
      <c r="I6" s="10" t="n">
        <v>46142</v>
      </c>
      <c r="J6" s="17">
        <f>SUM($C$4:C6)</f>
        <v/>
      </c>
    </row>
    <row r="7">
      <c r="A7" s="10" t="n">
        <v>46113</v>
      </c>
      <c r="B7" s="9" t="n">
        <v>4</v>
      </c>
      <c r="C7" s="16" t="n">
        <v>480000</v>
      </c>
      <c r="D7" s="19">
        <f>MAX(0,MIN(C7*Parametres!$B$13,(Parametres!$B$8*Parametres!$B$14-SUM($D$4:D6))))</f>
        <v/>
      </c>
      <c r="E7" s="19">
        <f>C7-D7</f>
        <v/>
      </c>
      <c r="F7" s="19">
        <f>E7*Parametres!$B$12</f>
        <v/>
      </c>
      <c r="G7" s="19">
        <f>E7+F7</f>
        <v/>
      </c>
      <c r="H7" s="9" t="inlineStr">
        <is>
          <t>Oui</t>
        </is>
      </c>
      <c r="I7" s="10" t="n">
        <v>46171</v>
      </c>
      <c r="J7" s="19">
        <f>SUM($C$4:C7)</f>
        <v/>
      </c>
    </row>
    <row r="8">
      <c r="A8" s="10" t="n">
        <v>46143</v>
      </c>
      <c r="B8" s="9" t="n">
        <v>5</v>
      </c>
      <c r="C8" s="16" t="n">
        <v>620000</v>
      </c>
      <c r="D8" s="17">
        <f>MAX(0,MIN(C8*Parametres!$B$13,(Parametres!$B$8*Parametres!$B$14-SUM($D$4:D7))))</f>
        <v/>
      </c>
      <c r="E8" s="17">
        <f>C8-D8</f>
        <v/>
      </c>
      <c r="F8" s="17">
        <f>E8*Parametres!$B$12</f>
        <v/>
      </c>
      <c r="G8" s="17">
        <f>E8+F8</f>
        <v/>
      </c>
      <c r="H8" s="9" t="inlineStr">
        <is>
          <t>Oui</t>
        </is>
      </c>
      <c r="I8" s="10" t="n">
        <v>46203</v>
      </c>
      <c r="J8" s="17">
        <f>SUM($C$4:C8)</f>
        <v/>
      </c>
    </row>
    <row r="9">
      <c r="A9" s="10" t="n">
        <v>46174</v>
      </c>
      <c r="B9" s="9" t="n">
        <v>6</v>
      </c>
      <c r="C9" s="16" t="n">
        <v>680000</v>
      </c>
      <c r="D9" s="19">
        <f>MAX(0,MIN(C9*Parametres!$B$13,(Parametres!$B$8*Parametres!$B$14-SUM($D$4:D8))))</f>
        <v/>
      </c>
      <c r="E9" s="19">
        <f>C9-D9</f>
        <v/>
      </c>
      <c r="F9" s="19">
        <f>E9*Parametres!$B$12</f>
        <v/>
      </c>
      <c r="G9" s="19">
        <f>E9+F9</f>
        <v/>
      </c>
      <c r="H9" s="9" t="inlineStr">
        <is>
          <t>Oui</t>
        </is>
      </c>
      <c r="I9" s="10" t="n">
        <v>46233</v>
      </c>
      <c r="J9" s="19">
        <f>SUM($C$4:C9)</f>
        <v/>
      </c>
    </row>
    <row r="10">
      <c r="A10" s="10" t="n">
        <v>46204</v>
      </c>
      <c r="B10" s="9" t="n">
        <v>7</v>
      </c>
      <c r="C10" s="16" t="n">
        <v>640000</v>
      </c>
      <c r="D10" s="17">
        <f>MAX(0,MIN(C10*Parametres!$B$13,(Parametres!$B$8*Parametres!$B$14-SUM($D$4:D9))))</f>
        <v/>
      </c>
      <c r="E10" s="17">
        <f>C10-D10</f>
        <v/>
      </c>
      <c r="F10" s="17">
        <f>E10*Parametres!$B$12</f>
        <v/>
      </c>
      <c r="G10" s="17">
        <f>E10+F10</f>
        <v/>
      </c>
      <c r="H10" s="9" t="inlineStr">
        <is>
          <t>Non</t>
        </is>
      </c>
      <c r="I10" s="10" t="n"/>
      <c r="J10" s="17">
        <f>SUM($C$4:C10)</f>
        <v/>
      </c>
    </row>
    <row r="11">
      <c r="A11" s="10" t="n">
        <v>46235</v>
      </c>
      <c r="B11" s="9" t="n">
        <v>8</v>
      </c>
      <c r="C11" s="16" t="n">
        <v>590000</v>
      </c>
      <c r="D11" s="19">
        <f>MAX(0,MIN(C11*Parametres!$B$13,(Parametres!$B$8*Parametres!$B$14-SUM($D$4:D10))))</f>
        <v/>
      </c>
      <c r="E11" s="19">
        <f>C11-D11</f>
        <v/>
      </c>
      <c r="F11" s="19">
        <f>E11*Parametres!$B$12</f>
        <v/>
      </c>
      <c r="G11" s="19">
        <f>E11+F11</f>
        <v/>
      </c>
      <c r="H11" s="9" t="inlineStr">
        <is>
          <t>Non</t>
        </is>
      </c>
      <c r="I11" s="10" t="n"/>
      <c r="J11" s="19">
        <f>SUM($C$4:C11)</f>
        <v/>
      </c>
    </row>
    <row r="12">
      <c r="A12" s="10" t="n">
        <v>46266</v>
      </c>
      <c r="B12" s="9" t="n"/>
      <c r="C12" s="16" t="n"/>
      <c r="D12" s="17">
        <f>MAX(0,MIN(C12*Parametres!$B$13,(Parametres!$B$8*Parametres!$B$14-SUM($D$4:D11))))</f>
        <v/>
      </c>
      <c r="E12" s="17">
        <f>C12-D12</f>
        <v/>
      </c>
      <c r="F12" s="17">
        <f>E12*Parametres!$B$12</f>
        <v/>
      </c>
      <c r="G12" s="17">
        <f>E12+F12</f>
        <v/>
      </c>
      <c r="H12" s="9" t="n"/>
      <c r="I12" s="10" t="n"/>
      <c r="J12" s="17">
        <f>SUM($C$4:C12)</f>
        <v/>
      </c>
    </row>
    <row r="13">
      <c r="A13" s="10" t="n">
        <v>46296</v>
      </c>
      <c r="B13" s="9" t="n"/>
      <c r="C13" s="16" t="n"/>
      <c r="D13" s="19">
        <f>MAX(0,MIN(C13*Parametres!$B$13,(Parametres!$B$8*Parametres!$B$14-SUM($D$4:D12))))</f>
        <v/>
      </c>
      <c r="E13" s="19">
        <f>C13-D13</f>
        <v/>
      </c>
      <c r="F13" s="19">
        <f>E13*Parametres!$B$12</f>
        <v/>
      </c>
      <c r="G13" s="19">
        <f>E13+F13</f>
        <v/>
      </c>
      <c r="H13" s="9" t="n"/>
      <c r="I13" s="10" t="n"/>
      <c r="J13" s="19">
        <f>SUM($C$4:C13)</f>
        <v/>
      </c>
    </row>
    <row r="14">
      <c r="A14" s="10" t="n">
        <v>46327</v>
      </c>
      <c r="B14" s="9" t="n"/>
      <c r="C14" s="16" t="n"/>
      <c r="D14" s="17">
        <f>MAX(0,MIN(C14*Parametres!$B$13,(Parametres!$B$8*Parametres!$B$14-SUM($D$4:D13))))</f>
        <v/>
      </c>
      <c r="E14" s="17">
        <f>C14-D14</f>
        <v/>
      </c>
      <c r="F14" s="17">
        <f>E14*Parametres!$B$12</f>
        <v/>
      </c>
      <c r="G14" s="17">
        <f>E14+F14</f>
        <v/>
      </c>
      <c r="H14" s="9" t="n"/>
      <c r="I14" s="10" t="n"/>
      <c r="J14" s="17">
        <f>SUM($C$4:C14)</f>
        <v/>
      </c>
    </row>
    <row r="15">
      <c r="A15" s="10" t="n">
        <v>46357</v>
      </c>
      <c r="B15" s="9" t="n"/>
      <c r="C15" s="16" t="n"/>
      <c r="D15" s="19">
        <f>MAX(0,MIN(C15*Parametres!$B$13,(Parametres!$B$8*Parametres!$B$14-SUM($D$4:D14))))</f>
        <v/>
      </c>
      <c r="E15" s="19">
        <f>C15-D15</f>
        <v/>
      </c>
      <c r="F15" s="19">
        <f>E15*Parametres!$B$12</f>
        <v/>
      </c>
      <c r="G15" s="19">
        <f>E15+F15</f>
        <v/>
      </c>
      <c r="H15" s="9" t="n"/>
      <c r="I15" s="10" t="n"/>
      <c r="J15" s="19">
        <f>SUM($C$4:C15)</f>
        <v/>
      </c>
    </row>
    <row r="16">
      <c r="A16" s="10" t="n">
        <v>46388</v>
      </c>
      <c r="B16" s="9" t="n"/>
      <c r="C16" s="16" t="n"/>
      <c r="D16" s="17">
        <f>MAX(0,MIN(C16*Parametres!$B$13,(Parametres!$B$8*Parametres!$B$14-SUM($D$4:D15))))</f>
        <v/>
      </c>
      <c r="E16" s="17">
        <f>C16-D16</f>
        <v/>
      </c>
      <c r="F16" s="17">
        <f>E16*Parametres!$B$12</f>
        <v/>
      </c>
      <c r="G16" s="17">
        <f>E16+F16</f>
        <v/>
      </c>
      <c r="H16" s="9" t="n"/>
      <c r="I16" s="10" t="n"/>
      <c r="J16" s="17">
        <f>SUM($C$4:C16)</f>
        <v/>
      </c>
    </row>
    <row r="17">
      <c r="A17" s="10" t="n">
        <v>46419</v>
      </c>
      <c r="B17" s="9" t="n"/>
      <c r="C17" s="16" t="n"/>
      <c r="D17" s="19">
        <f>MAX(0,MIN(C17*Parametres!$B$13,(Parametres!$B$8*Parametres!$B$14-SUM($D$4:D16))))</f>
        <v/>
      </c>
      <c r="E17" s="19">
        <f>C17-D17</f>
        <v/>
      </c>
      <c r="F17" s="19">
        <f>E17*Parametres!$B$12</f>
        <v/>
      </c>
      <c r="G17" s="19">
        <f>E17+F17</f>
        <v/>
      </c>
      <c r="H17" s="9" t="n"/>
      <c r="I17" s="10" t="n"/>
      <c r="J17" s="19">
        <f>SUM($C$4:C17)</f>
        <v/>
      </c>
    </row>
    <row r="18">
      <c r="A18" s="10" t="n">
        <v>46447</v>
      </c>
      <c r="B18" s="9" t="n"/>
      <c r="C18" s="16" t="n"/>
      <c r="D18" s="17">
        <f>MAX(0,MIN(C18*Parametres!$B$13,(Parametres!$B$8*Parametres!$B$14-SUM($D$4:D17))))</f>
        <v/>
      </c>
      <c r="E18" s="17">
        <f>C18-D18</f>
        <v/>
      </c>
      <c r="F18" s="17">
        <f>E18*Parametres!$B$12</f>
        <v/>
      </c>
      <c r="G18" s="17">
        <f>E18+F18</f>
        <v/>
      </c>
      <c r="H18" s="9" t="n"/>
      <c r="I18" s="10" t="n"/>
      <c r="J18" s="17">
        <f>SUM($C$4:C18)</f>
        <v/>
      </c>
    </row>
    <row r="19">
      <c r="A19" s="10" t="n">
        <v>46478</v>
      </c>
      <c r="B19" s="9" t="n"/>
      <c r="C19" s="16" t="n"/>
      <c r="D19" s="19">
        <f>MAX(0,MIN(C19*Parametres!$B$13,(Parametres!$B$8*Parametres!$B$14-SUM($D$4:D18))))</f>
        <v/>
      </c>
      <c r="E19" s="19">
        <f>C19-D19</f>
        <v/>
      </c>
      <c r="F19" s="19">
        <f>E19*Parametres!$B$12</f>
        <v/>
      </c>
      <c r="G19" s="19">
        <f>E19+F19</f>
        <v/>
      </c>
      <c r="H19" s="9" t="n"/>
      <c r="I19" s="10" t="n"/>
      <c r="J19" s="19">
        <f>SUM($C$4:C19)</f>
        <v/>
      </c>
    </row>
    <row r="20">
      <c r="A20" s="10" t="n">
        <v>46508</v>
      </c>
      <c r="B20" s="9" t="n"/>
      <c r="C20" s="16" t="n"/>
      <c r="D20" s="17">
        <f>MAX(0,MIN(C20*Parametres!$B$13,(Parametres!$B$8*Parametres!$B$14-SUM($D$4:D19))))</f>
        <v/>
      </c>
      <c r="E20" s="17">
        <f>C20-D20</f>
        <v/>
      </c>
      <c r="F20" s="17">
        <f>E20*Parametres!$B$12</f>
        <v/>
      </c>
      <c r="G20" s="17">
        <f>E20+F20</f>
        <v/>
      </c>
      <c r="H20" s="9" t="n"/>
      <c r="I20" s="10" t="n"/>
      <c r="J20" s="17">
        <f>SUM($C$4:C20)</f>
        <v/>
      </c>
    </row>
    <row r="21">
      <c r="A21" s="10" t="n">
        <v>46539</v>
      </c>
      <c r="B21" s="9" t="n"/>
      <c r="C21" s="16" t="n"/>
      <c r="D21" s="19">
        <f>MAX(0,MIN(C21*Parametres!$B$13,(Parametres!$B$8*Parametres!$B$14-SUM($D$4:D20))))</f>
        <v/>
      </c>
      <c r="E21" s="19">
        <f>C21-D21</f>
        <v/>
      </c>
      <c r="F21" s="19">
        <f>E21*Parametres!$B$12</f>
        <v/>
      </c>
      <c r="G21" s="19">
        <f>E21+F21</f>
        <v/>
      </c>
      <c r="H21" s="9" t="n"/>
      <c r="I21" s="10" t="n"/>
      <c r="J21" s="19">
        <f>SUM($C$4:C21)</f>
        <v/>
      </c>
    </row>
    <row r="22">
      <c r="A22" s="21" t="inlineStr">
        <is>
          <t>TOTAL</t>
        </is>
      </c>
      <c r="B22" s="21" t="n"/>
      <c r="C22" s="22">
        <f>SUM(C4:C21)</f>
        <v/>
      </c>
      <c r="D22" s="22">
        <f>SUM(D4:D21)</f>
        <v/>
      </c>
      <c r="E22" s="22">
        <f>SUM(E4:E21)</f>
        <v/>
      </c>
      <c r="F22" s="22">
        <f>SUM(F4:F21)</f>
        <v/>
      </c>
      <c r="G22" s="22">
        <f>SUM(G4:G21)</f>
        <v/>
      </c>
      <c r="H22" s="21" t="n"/>
      <c r="I22" s="21" t="n"/>
      <c r="J22" s="22">
        <f>J21</f>
        <v/>
      </c>
    </row>
  </sheetData>
  <mergeCells count="1">
    <mergeCell ref="A1:J1"/>
  </mergeCells>
  <dataValidations count="1">
    <dataValidation sqref="H4:H21" showDropDown="0" showInputMessage="0" showErrorMessage="1" allowBlank="1" errorTitle="Valeur invalide" error="Choisis une valeur dans la liste déroulante." type="list">
      <formula1>"Oui,Non"</formula1>
    </dataValidation>
  </dataValidations>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1F4E79"/>
    <outlinePr summaryBelow="1" summaryRight="1"/>
    <pageSetUpPr fitToPage="1"/>
  </sheetPr>
  <dimension ref="A1:I47"/>
  <sheetViews>
    <sheetView showGridLines="0" workbookViewId="0">
      <pane ySplit="6" topLeftCell="A7" activePane="bottomLeft" state="frozen"/>
      <selection pane="bottomLeft" activeCell="A1" sqref="A1"/>
    </sheetView>
  </sheetViews>
  <sheetFormatPr baseColWidth="8" defaultRowHeight="15"/>
  <cols>
    <col width="20" customWidth="1" min="1" max="1"/>
    <col width="14" customWidth="1" min="2" max="2"/>
    <col width="38" customWidth="1" min="3" max="3"/>
    <col width="28" customWidth="1" min="4" max="4"/>
    <col width="14" customWidth="1" min="5" max="5"/>
    <col width="13" customWidth="1" min="6" max="6"/>
    <col width="18" customWidth="1" min="7" max="7"/>
    <col width="14" customWidth="1" min="8" max="8"/>
    <col width="13" customWidth="1" min="9" max="9"/>
  </cols>
  <sheetData>
    <row r="1" ht="30" customHeight="1">
      <c r="A1" s="1" t="inlineStr">
        <is>
          <t>RÉGIE, PLUS-VALUES, MOINS-VALUES ET RÉCLAMATIONS</t>
        </is>
      </c>
      <c r="B1" s="2" t="n"/>
      <c r="C1" s="2" t="n"/>
      <c r="D1" s="2" t="n"/>
      <c r="E1" s="2" t="n"/>
      <c r="F1" s="2" t="n"/>
      <c r="G1" s="2" t="n"/>
      <c r="H1" s="2" t="n"/>
      <c r="I1" s="2" t="n"/>
    </row>
    <row r="3" ht="20" customHeight="1">
      <c r="A3" s="25" t="inlineStr">
        <is>
          <t>Récapitulatif par statut</t>
        </is>
      </c>
      <c r="B3" s="2" t="n"/>
      <c r="C3" s="2" t="n"/>
      <c r="D3" s="2" t="n"/>
      <c r="E3" s="2" t="n"/>
      <c r="F3" s="2" t="n"/>
      <c r="G3" s="2" t="n"/>
      <c r="H3" s="2" t="n"/>
      <c r="I3" s="2" t="n"/>
    </row>
    <row r="4">
      <c r="A4" t="inlineStr">
        <is>
          <t>Total accepté (CHF)</t>
        </is>
      </c>
      <c r="B4" s="33">
        <f>SUMIFS('Regie-PV-MV'!$F$7:$F$47,'Regie-PV-MV'!$H$7:$H$47,"accepté")</f>
        <v/>
      </c>
      <c r="D4" t="inlineStr">
        <is>
          <t>Total en attente, annoncé (CHF)</t>
        </is>
      </c>
      <c r="E4" s="33">
        <f>SUMIFS('Regie-PV-MV'!$F$7:$F$47,'Regie-PV-MV'!$H$7:$H$47,"annoncé")</f>
        <v/>
      </c>
      <c r="G4" t="inlineStr">
        <is>
          <t>Total refusé (CHF)</t>
        </is>
      </c>
      <c r="H4" s="33">
        <f>SUMIFS('Regie-PV-MV'!$F$7:$F$47,'Regie-PV-MV'!$H$7:$H$47,"refusé")</f>
        <v/>
      </c>
    </row>
    <row r="6" ht="26" customHeight="1">
      <c r="A6" s="8" t="inlineStr">
        <is>
          <t>Date</t>
        </is>
      </c>
      <c r="B6" s="8" t="inlineStr">
        <is>
          <t>Référence</t>
        </is>
      </c>
      <c r="C6" s="8" t="inlineStr">
        <is>
          <t>Description</t>
        </is>
      </c>
      <c r="D6" s="8" t="inlineStr">
        <is>
          <t>Type</t>
        </is>
      </c>
      <c r="E6" s="8" t="inlineStr">
        <is>
          <t>CFC</t>
        </is>
      </c>
      <c r="F6" s="8" t="inlineStr">
        <is>
          <t>Montant vente</t>
        </is>
      </c>
      <c r="G6" s="8" t="inlineStr">
        <is>
          <t>Coût estimé</t>
        </is>
      </c>
      <c r="H6" s="8" t="inlineStr">
        <is>
          <t>Statut</t>
        </is>
      </c>
      <c r="I6" s="8" t="inlineStr">
        <is>
          <t>Inclus dans PFC</t>
        </is>
      </c>
    </row>
    <row r="7">
      <c r="A7" s="10" t="n">
        <v>46063</v>
      </c>
      <c r="B7" s="9" t="inlineStr">
        <is>
          <t>REG-001</t>
        </is>
      </c>
      <c r="C7" s="9" t="inlineStr">
        <is>
          <t>Renfort armature fondations suite étude de sol</t>
        </is>
      </c>
      <c r="D7" s="9" t="inlineStr">
        <is>
          <t>régie</t>
        </is>
      </c>
      <c r="E7" s="9" t="inlineStr">
        <is>
          <t>211</t>
        </is>
      </c>
      <c r="F7" s="16" t="n">
        <v>35000</v>
      </c>
      <c r="G7" s="16" t="n">
        <v>28000</v>
      </c>
      <c r="H7" s="9" t="inlineStr">
        <is>
          <t>accepté</t>
        </is>
      </c>
      <c r="I7" s="26">
        <f>IF(H7="accepté","oui","non")</f>
        <v/>
      </c>
    </row>
    <row r="8">
      <c r="A8" s="10" t="n">
        <v>46086</v>
      </c>
      <c r="B8" s="9" t="inlineStr">
        <is>
          <t>REG-002</t>
        </is>
      </c>
      <c r="C8" s="9" t="inlineStr">
        <is>
          <t>Modification tracé gaines techniques CVC</t>
        </is>
      </c>
      <c r="D8" s="9" t="inlineStr">
        <is>
          <t>plus-value</t>
        </is>
      </c>
      <c r="E8" s="9" t="inlineStr">
        <is>
          <t>240</t>
        </is>
      </c>
      <c r="F8" s="16" t="n">
        <v>18000</v>
      </c>
      <c r="G8" s="16" t="n">
        <v>14000</v>
      </c>
      <c r="H8" s="9" t="inlineStr">
        <is>
          <t>accepté</t>
        </is>
      </c>
      <c r="I8" s="28">
        <f>IF(H8="accepté","oui","non")</f>
        <v/>
      </c>
    </row>
    <row r="9">
      <c r="A9" s="10" t="n">
        <v>46101</v>
      </c>
      <c r="B9" s="9" t="inlineStr">
        <is>
          <t>REG-003</t>
        </is>
      </c>
      <c r="C9" s="9" t="inlineStr">
        <is>
          <t>Suppression cloison technique buanderie</t>
        </is>
      </c>
      <c r="D9" s="9" t="inlineStr">
        <is>
          <t>moins-value</t>
        </is>
      </c>
      <c r="E9" s="9" t="inlineStr">
        <is>
          <t>271</t>
        </is>
      </c>
      <c r="F9" s="16" t="n">
        <v>-6000</v>
      </c>
      <c r="G9" s="16" t="n">
        <v>-4500</v>
      </c>
      <c r="H9" s="9" t="inlineStr">
        <is>
          <t>accepté</t>
        </is>
      </c>
      <c r="I9" s="26">
        <f>IF(H9="accepté","oui","non")</f>
        <v/>
      </c>
    </row>
    <row r="10">
      <c r="A10" s="10" t="n">
        <v>46114</v>
      </c>
      <c r="B10" s="9" t="inlineStr">
        <is>
          <t>REG-004</t>
        </is>
      </c>
      <c r="C10" s="9" t="inlineStr">
        <is>
          <t>Balcons supplémentaires attique</t>
        </is>
      </c>
      <c r="D10" s="9" t="inlineStr">
        <is>
          <t>offre complémentaire</t>
        </is>
      </c>
      <c r="E10" s="9" t="inlineStr">
        <is>
          <t>213</t>
        </is>
      </c>
      <c r="F10" s="16" t="n">
        <v>42000</v>
      </c>
      <c r="G10" s="16" t="n">
        <v>33000</v>
      </c>
      <c r="H10" s="9" t="inlineStr">
        <is>
          <t>accepté</t>
        </is>
      </c>
      <c r="I10" s="28">
        <f>IF(H10="accepté","oui","non")</f>
        <v/>
      </c>
    </row>
    <row r="11">
      <c r="A11" s="10" t="n">
        <v>46130</v>
      </c>
      <c r="B11" s="9" t="inlineStr">
        <is>
          <t>REG-005</t>
        </is>
      </c>
      <c r="C11" s="9" t="inlineStr">
        <is>
          <t>Réclamation retard livraison fenêtres</t>
        </is>
      </c>
      <c r="D11" s="9" t="inlineStr">
        <is>
          <t>réclamation</t>
        </is>
      </c>
      <c r="E11" s="9" t="inlineStr">
        <is>
          <t>221</t>
        </is>
      </c>
      <c r="F11" s="16" t="n">
        <v>0</v>
      </c>
      <c r="G11" s="16" t="n">
        <v>5000</v>
      </c>
      <c r="H11" s="9" t="inlineStr">
        <is>
          <t>refusé</t>
        </is>
      </c>
      <c r="I11" s="26">
        <f>IF(H11="accepté","oui","non")</f>
        <v/>
      </c>
    </row>
    <row r="12">
      <c r="A12" s="10" t="n">
        <v>46152</v>
      </c>
      <c r="B12" s="9" t="inlineStr">
        <is>
          <t>REG-006</t>
        </is>
      </c>
      <c r="C12" s="9" t="inlineStr">
        <is>
          <t>Store extérieur supplémentaire terrasse</t>
        </is>
      </c>
      <c r="D12" s="9" t="inlineStr">
        <is>
          <t>plus-value</t>
        </is>
      </c>
      <c r="E12" s="9" t="inlineStr">
        <is>
          <t>222</t>
        </is>
      </c>
      <c r="F12" s="16" t="n">
        <v>9500</v>
      </c>
      <c r="G12" s="16" t="n">
        <v>7000</v>
      </c>
      <c r="H12" s="9" t="inlineStr">
        <is>
          <t>accepté</t>
        </is>
      </c>
      <c r="I12" s="28">
        <f>IF(H12="accepté","oui","non")</f>
        <v/>
      </c>
    </row>
    <row r="13">
      <c r="A13" s="10" t="n">
        <v>46167</v>
      </c>
      <c r="B13" s="9" t="inlineStr">
        <is>
          <t>REG-007</t>
        </is>
      </c>
      <c r="C13" s="9" t="inlineStr">
        <is>
          <t>Revêtement de sol upgrade parquet chêne</t>
        </is>
      </c>
      <c r="D13" s="9" t="inlineStr">
        <is>
          <t>offre complémentaire</t>
        </is>
      </c>
      <c r="E13" s="9" t="inlineStr">
        <is>
          <t>282</t>
        </is>
      </c>
      <c r="F13" s="16" t="n">
        <v>22000</v>
      </c>
      <c r="G13" s="16" t="n">
        <v>17500</v>
      </c>
      <c r="H13" s="9" t="inlineStr">
        <is>
          <t>annoncé</t>
        </is>
      </c>
      <c r="I13" s="26">
        <f>IF(H13="accepté","oui","non")</f>
        <v/>
      </c>
    </row>
    <row r="14">
      <c r="A14" s="10" t="n">
        <v>46181</v>
      </c>
      <c r="B14" s="9" t="inlineStr">
        <is>
          <t>REG-008</t>
        </is>
      </c>
      <c r="C14" s="9" t="inlineStr">
        <is>
          <t>Agencement menuiserie complémentaire cuisines</t>
        </is>
      </c>
      <c r="D14" s="9" t="inlineStr">
        <is>
          <t>offre complémentaire</t>
        </is>
      </c>
      <c r="E14" s="9" t="inlineStr">
        <is>
          <t>273</t>
        </is>
      </c>
      <c r="F14" s="16" t="n">
        <v>28000</v>
      </c>
      <c r="G14" s="16" t="n">
        <v>21000</v>
      </c>
      <c r="H14" s="9" t="inlineStr">
        <is>
          <t>annoncé</t>
        </is>
      </c>
      <c r="I14" s="28">
        <f>IF(H14="accepté","oui","non")</f>
        <v/>
      </c>
    </row>
    <row r="15">
      <c r="A15" s="10" t="n">
        <v>46195</v>
      </c>
      <c r="B15" s="9" t="inlineStr">
        <is>
          <t>REG-009</t>
        </is>
      </c>
      <c r="C15" s="9" t="inlineStr">
        <is>
          <t>Régie déblaiement terre polluée imprévue</t>
        </is>
      </c>
      <c r="D15" s="9" t="inlineStr">
        <is>
          <t>régie</t>
        </is>
      </c>
      <c r="E15" s="9" t="inlineStr">
        <is>
          <t>201</t>
        </is>
      </c>
      <c r="F15" s="16" t="n">
        <v>12000</v>
      </c>
      <c r="G15" s="16" t="n">
        <v>12000</v>
      </c>
      <c r="H15" s="9" t="inlineStr">
        <is>
          <t>accepté</t>
        </is>
      </c>
      <c r="I15" s="26">
        <f>IF(H15="accepté","oui","non")</f>
        <v/>
      </c>
    </row>
    <row r="16">
      <c r="A16" s="10" t="n">
        <v>46217</v>
      </c>
      <c r="B16" s="9" t="inlineStr">
        <is>
          <t>REG-010</t>
        </is>
      </c>
      <c r="C16" s="9" t="inlineStr">
        <is>
          <t>Réclamation fissures enduit façade</t>
        </is>
      </c>
      <c r="D16" s="9" t="inlineStr">
        <is>
          <t>réclamation</t>
        </is>
      </c>
      <c r="E16" s="9" t="inlineStr">
        <is>
          <t>228</t>
        </is>
      </c>
      <c r="F16" s="16" t="n">
        <v>0</v>
      </c>
      <c r="G16" s="16" t="n">
        <v>8000</v>
      </c>
      <c r="H16" s="9" t="inlineStr">
        <is>
          <t>annoncé</t>
        </is>
      </c>
      <c r="I16" s="28">
        <f>IF(H16="accepté","oui","non")</f>
        <v/>
      </c>
    </row>
    <row r="17">
      <c r="A17" s="10" t="n">
        <v>46233</v>
      </c>
      <c r="B17" s="9" t="inlineStr">
        <is>
          <t>REG-011</t>
        </is>
      </c>
      <c r="C17" s="9" t="inlineStr">
        <is>
          <t>Ascenseur option cabine design</t>
        </is>
      </c>
      <c r="D17" s="9" t="inlineStr">
        <is>
          <t>plus-value</t>
        </is>
      </c>
      <c r="E17" s="9" t="inlineStr">
        <is>
          <t>260</t>
        </is>
      </c>
      <c r="F17" s="16" t="n">
        <v>15000</v>
      </c>
      <c r="G17" s="16" t="n">
        <v>11000</v>
      </c>
      <c r="H17" s="9" t="inlineStr">
        <is>
          <t>refusé</t>
        </is>
      </c>
      <c r="I17" s="26">
        <f>IF(H17="accepté","oui","non")</f>
        <v/>
      </c>
    </row>
    <row r="18">
      <c r="A18" s="10" t="n"/>
      <c r="B18" s="9" t="n"/>
      <c r="C18" s="9" t="n"/>
      <c r="D18" s="9" t="n"/>
      <c r="E18" s="9" t="n"/>
      <c r="F18" s="11" t="n"/>
      <c r="G18" s="11" t="n"/>
      <c r="H18" s="9" t="n"/>
      <c r="I18" s="28">
        <f>IF(H18="","",IF(H18="accepté","oui","non"))</f>
        <v/>
      </c>
    </row>
    <row r="19">
      <c r="A19" s="10" t="n"/>
      <c r="B19" s="9" t="n"/>
      <c r="C19" s="9" t="n"/>
      <c r="D19" s="9" t="n"/>
      <c r="E19" s="9" t="n"/>
      <c r="F19" s="11" t="n"/>
      <c r="G19" s="11" t="n"/>
      <c r="H19" s="9" t="n"/>
      <c r="I19" s="26">
        <f>IF(H19="","",IF(H19="accepté","oui","non"))</f>
        <v/>
      </c>
    </row>
    <row r="20">
      <c r="A20" s="10" t="n"/>
      <c r="B20" s="9" t="n"/>
      <c r="C20" s="9" t="n"/>
      <c r="D20" s="9" t="n"/>
      <c r="E20" s="9" t="n"/>
      <c r="F20" s="11" t="n"/>
      <c r="G20" s="11" t="n"/>
      <c r="H20" s="9" t="n"/>
      <c r="I20" s="28">
        <f>IF(H20="","",IF(H20="accepté","oui","non"))</f>
        <v/>
      </c>
    </row>
    <row r="21">
      <c r="A21" s="10" t="n"/>
      <c r="B21" s="9" t="n"/>
      <c r="C21" s="9" t="n"/>
      <c r="D21" s="9" t="n"/>
      <c r="E21" s="9" t="n"/>
      <c r="F21" s="11" t="n"/>
      <c r="G21" s="11" t="n"/>
      <c r="H21" s="9" t="n"/>
      <c r="I21" s="26">
        <f>IF(H21="","",IF(H21="accepté","oui","non"))</f>
        <v/>
      </c>
    </row>
    <row r="22">
      <c r="A22" s="10" t="n"/>
      <c r="B22" s="9" t="n"/>
      <c r="C22" s="9" t="n"/>
      <c r="D22" s="9" t="n"/>
      <c r="E22" s="9" t="n"/>
      <c r="F22" s="11" t="n"/>
      <c r="G22" s="11" t="n"/>
      <c r="H22" s="9" t="n"/>
      <c r="I22" s="28">
        <f>IF(H22="","",IF(H22="accepté","oui","non"))</f>
        <v/>
      </c>
    </row>
    <row r="23">
      <c r="A23" s="10" t="n"/>
      <c r="B23" s="9" t="n"/>
      <c r="C23" s="9" t="n"/>
      <c r="D23" s="9" t="n"/>
      <c r="E23" s="9" t="n"/>
      <c r="F23" s="11" t="n"/>
      <c r="G23" s="11" t="n"/>
      <c r="H23" s="9" t="n"/>
      <c r="I23" s="26">
        <f>IF(H23="","",IF(H23="accepté","oui","non"))</f>
        <v/>
      </c>
    </row>
    <row r="24">
      <c r="A24" s="10" t="n"/>
      <c r="B24" s="9" t="n"/>
      <c r="C24" s="9" t="n"/>
      <c r="D24" s="9" t="n"/>
      <c r="E24" s="9" t="n"/>
      <c r="F24" s="11" t="n"/>
      <c r="G24" s="11" t="n"/>
      <c r="H24" s="9" t="n"/>
      <c r="I24" s="28">
        <f>IF(H24="","",IF(H24="accepté","oui","non"))</f>
        <v/>
      </c>
    </row>
    <row r="25">
      <c r="A25" s="10" t="n"/>
      <c r="B25" s="9" t="n"/>
      <c r="C25" s="9" t="n"/>
      <c r="D25" s="9" t="n"/>
      <c r="E25" s="9" t="n"/>
      <c r="F25" s="11" t="n"/>
      <c r="G25" s="11" t="n"/>
      <c r="H25" s="9" t="n"/>
      <c r="I25" s="26">
        <f>IF(H25="","",IF(H25="accepté","oui","non"))</f>
        <v/>
      </c>
    </row>
    <row r="26">
      <c r="A26" s="10" t="n"/>
      <c r="B26" s="9" t="n"/>
      <c r="C26" s="9" t="n"/>
      <c r="D26" s="9" t="n"/>
      <c r="E26" s="9" t="n"/>
      <c r="F26" s="11" t="n"/>
      <c r="G26" s="11" t="n"/>
      <c r="H26" s="9" t="n"/>
      <c r="I26" s="28">
        <f>IF(H26="","",IF(H26="accepté","oui","non"))</f>
        <v/>
      </c>
    </row>
    <row r="27">
      <c r="A27" s="10" t="n"/>
      <c r="B27" s="9" t="n"/>
      <c r="C27" s="9" t="n"/>
      <c r="D27" s="9" t="n"/>
      <c r="E27" s="9" t="n"/>
      <c r="F27" s="11" t="n"/>
      <c r="G27" s="11" t="n"/>
      <c r="H27" s="9" t="n"/>
      <c r="I27" s="26">
        <f>IF(H27="","",IF(H27="accepté","oui","non"))</f>
        <v/>
      </c>
    </row>
    <row r="28">
      <c r="A28" s="10" t="n"/>
      <c r="B28" s="9" t="n"/>
      <c r="C28" s="9" t="n"/>
      <c r="D28" s="9" t="n"/>
      <c r="E28" s="9" t="n"/>
      <c r="F28" s="11" t="n"/>
      <c r="G28" s="11" t="n"/>
      <c r="H28" s="9" t="n"/>
      <c r="I28" s="28">
        <f>IF(H28="","",IF(H28="accepté","oui","non"))</f>
        <v/>
      </c>
    </row>
    <row r="29">
      <c r="A29" s="10" t="n"/>
      <c r="B29" s="9" t="n"/>
      <c r="C29" s="9" t="n"/>
      <c r="D29" s="9" t="n"/>
      <c r="E29" s="9" t="n"/>
      <c r="F29" s="11" t="n"/>
      <c r="G29" s="11" t="n"/>
      <c r="H29" s="9" t="n"/>
      <c r="I29" s="26">
        <f>IF(H29="","",IF(H29="accepté","oui","non"))</f>
        <v/>
      </c>
    </row>
    <row r="30">
      <c r="A30" s="10" t="n"/>
      <c r="B30" s="9" t="n"/>
      <c r="C30" s="9" t="n"/>
      <c r="D30" s="9" t="n"/>
      <c r="E30" s="9" t="n"/>
      <c r="F30" s="11" t="n"/>
      <c r="G30" s="11" t="n"/>
      <c r="H30" s="9" t="n"/>
      <c r="I30" s="28">
        <f>IF(H30="","",IF(H30="accepté","oui","non"))</f>
        <v/>
      </c>
    </row>
    <row r="31">
      <c r="A31" s="10" t="n"/>
      <c r="B31" s="9" t="n"/>
      <c r="C31" s="9" t="n"/>
      <c r="D31" s="9" t="n"/>
      <c r="E31" s="9" t="n"/>
      <c r="F31" s="11" t="n"/>
      <c r="G31" s="11" t="n"/>
      <c r="H31" s="9" t="n"/>
      <c r="I31" s="26">
        <f>IF(H31="","",IF(H31="accepté","oui","non"))</f>
        <v/>
      </c>
    </row>
    <row r="32">
      <c r="A32" s="10" t="n"/>
      <c r="B32" s="9" t="n"/>
      <c r="C32" s="9" t="n"/>
      <c r="D32" s="9" t="n"/>
      <c r="E32" s="9" t="n"/>
      <c r="F32" s="11" t="n"/>
      <c r="G32" s="11" t="n"/>
      <c r="H32" s="9" t="n"/>
      <c r="I32" s="28">
        <f>IF(H32="","",IF(H32="accepté","oui","non"))</f>
        <v/>
      </c>
    </row>
    <row r="33">
      <c r="A33" s="10" t="n"/>
      <c r="B33" s="9" t="n"/>
      <c r="C33" s="9" t="n"/>
      <c r="D33" s="9" t="n"/>
      <c r="E33" s="9" t="n"/>
      <c r="F33" s="11" t="n"/>
      <c r="G33" s="11" t="n"/>
      <c r="H33" s="9" t="n"/>
      <c r="I33" s="26">
        <f>IF(H33="","",IF(H33="accepté","oui","non"))</f>
        <v/>
      </c>
    </row>
    <row r="34">
      <c r="A34" s="10" t="n"/>
      <c r="B34" s="9" t="n"/>
      <c r="C34" s="9" t="n"/>
      <c r="D34" s="9" t="n"/>
      <c r="E34" s="9" t="n"/>
      <c r="F34" s="11" t="n"/>
      <c r="G34" s="11" t="n"/>
      <c r="H34" s="9" t="n"/>
      <c r="I34" s="28">
        <f>IF(H34="","",IF(H34="accepté","oui","non"))</f>
        <v/>
      </c>
    </row>
    <row r="35">
      <c r="A35" s="10" t="n"/>
      <c r="B35" s="9" t="n"/>
      <c r="C35" s="9" t="n"/>
      <c r="D35" s="9" t="n"/>
      <c r="E35" s="9" t="n"/>
      <c r="F35" s="11" t="n"/>
      <c r="G35" s="11" t="n"/>
      <c r="H35" s="9" t="n"/>
      <c r="I35" s="26">
        <f>IF(H35="","",IF(H35="accepté","oui","non"))</f>
        <v/>
      </c>
    </row>
    <row r="36">
      <c r="A36" s="10" t="n"/>
      <c r="B36" s="9" t="n"/>
      <c r="C36" s="9" t="n"/>
      <c r="D36" s="9" t="n"/>
      <c r="E36" s="9" t="n"/>
      <c r="F36" s="11" t="n"/>
      <c r="G36" s="11" t="n"/>
      <c r="H36" s="9" t="n"/>
      <c r="I36" s="28">
        <f>IF(H36="","",IF(H36="accepté","oui","non"))</f>
        <v/>
      </c>
    </row>
    <row r="37">
      <c r="A37" s="10" t="n"/>
      <c r="B37" s="9" t="n"/>
      <c r="C37" s="9" t="n"/>
      <c r="D37" s="9" t="n"/>
      <c r="E37" s="9" t="n"/>
      <c r="F37" s="11" t="n"/>
      <c r="G37" s="11" t="n"/>
      <c r="H37" s="9" t="n"/>
      <c r="I37" s="26">
        <f>IF(H37="","",IF(H37="accepté","oui","non"))</f>
        <v/>
      </c>
    </row>
    <row r="38">
      <c r="A38" s="10" t="n"/>
      <c r="B38" s="9" t="n"/>
      <c r="C38" s="9" t="n"/>
      <c r="D38" s="9" t="n"/>
      <c r="E38" s="9" t="n"/>
      <c r="F38" s="11" t="n"/>
      <c r="G38" s="11" t="n"/>
      <c r="H38" s="9" t="n"/>
      <c r="I38" s="28">
        <f>IF(H38="","",IF(H38="accepté","oui","non"))</f>
        <v/>
      </c>
    </row>
    <row r="39">
      <c r="A39" s="10" t="n"/>
      <c r="B39" s="9" t="n"/>
      <c r="C39" s="9" t="n"/>
      <c r="D39" s="9" t="n"/>
      <c r="E39" s="9" t="n"/>
      <c r="F39" s="11" t="n"/>
      <c r="G39" s="11" t="n"/>
      <c r="H39" s="9" t="n"/>
      <c r="I39" s="26">
        <f>IF(H39="","",IF(H39="accepté","oui","non"))</f>
        <v/>
      </c>
    </row>
    <row r="40">
      <c r="A40" s="10" t="n"/>
      <c r="B40" s="9" t="n"/>
      <c r="C40" s="9" t="n"/>
      <c r="D40" s="9" t="n"/>
      <c r="E40" s="9" t="n"/>
      <c r="F40" s="11" t="n"/>
      <c r="G40" s="11" t="n"/>
      <c r="H40" s="9" t="n"/>
      <c r="I40" s="28">
        <f>IF(H40="","",IF(H40="accepté","oui","non"))</f>
        <v/>
      </c>
    </row>
    <row r="41">
      <c r="A41" s="10" t="n"/>
      <c r="B41" s="9" t="n"/>
      <c r="C41" s="9" t="n"/>
      <c r="D41" s="9" t="n"/>
      <c r="E41" s="9" t="n"/>
      <c r="F41" s="11" t="n"/>
      <c r="G41" s="11" t="n"/>
      <c r="H41" s="9" t="n"/>
      <c r="I41" s="26">
        <f>IF(H41="","",IF(H41="accepté","oui","non"))</f>
        <v/>
      </c>
    </row>
    <row r="42">
      <c r="A42" s="10" t="n"/>
      <c r="B42" s="9" t="n"/>
      <c r="C42" s="9" t="n"/>
      <c r="D42" s="9" t="n"/>
      <c r="E42" s="9" t="n"/>
      <c r="F42" s="11" t="n"/>
      <c r="G42" s="11" t="n"/>
      <c r="H42" s="9" t="n"/>
      <c r="I42" s="28">
        <f>IF(H42="","",IF(H42="accepté","oui","non"))</f>
        <v/>
      </c>
    </row>
    <row r="43">
      <c r="A43" s="10" t="n"/>
      <c r="B43" s="9" t="n"/>
      <c r="C43" s="9" t="n"/>
      <c r="D43" s="9" t="n"/>
      <c r="E43" s="9" t="n"/>
      <c r="F43" s="11" t="n"/>
      <c r="G43" s="11" t="n"/>
      <c r="H43" s="9" t="n"/>
      <c r="I43" s="26">
        <f>IF(H43="","",IF(H43="accepté","oui","non"))</f>
        <v/>
      </c>
    </row>
    <row r="44">
      <c r="A44" s="10" t="n"/>
      <c r="B44" s="9" t="n"/>
      <c r="C44" s="9" t="n"/>
      <c r="D44" s="9" t="n"/>
      <c r="E44" s="9" t="n"/>
      <c r="F44" s="11" t="n"/>
      <c r="G44" s="11" t="n"/>
      <c r="H44" s="9" t="n"/>
      <c r="I44" s="28">
        <f>IF(H44="","",IF(H44="accepté","oui","non"))</f>
        <v/>
      </c>
    </row>
    <row r="45">
      <c r="A45" s="10" t="n"/>
      <c r="B45" s="9" t="n"/>
      <c r="C45" s="9" t="n"/>
      <c r="D45" s="9" t="n"/>
      <c r="E45" s="9" t="n"/>
      <c r="F45" s="11" t="n"/>
      <c r="G45" s="11" t="n"/>
      <c r="H45" s="9" t="n"/>
      <c r="I45" s="26">
        <f>IF(H45="","",IF(H45="accepté","oui","non"))</f>
        <v/>
      </c>
    </row>
    <row r="46">
      <c r="A46" s="10" t="n"/>
      <c r="B46" s="9" t="n"/>
      <c r="C46" s="9" t="n"/>
      <c r="D46" s="9" t="n"/>
      <c r="E46" s="9" t="n"/>
      <c r="F46" s="11" t="n"/>
      <c r="G46" s="11" t="n"/>
      <c r="H46" s="9" t="n"/>
      <c r="I46" s="28">
        <f>IF(H46="","",IF(H46="accepté","oui","non"))</f>
        <v/>
      </c>
    </row>
    <row r="47">
      <c r="A47" s="10" t="n"/>
      <c r="B47" s="9" t="n"/>
      <c r="C47" s="9" t="n"/>
      <c r="D47" s="9" t="n"/>
      <c r="E47" s="9" t="n"/>
      <c r="F47" s="11" t="n"/>
      <c r="G47" s="11" t="n"/>
      <c r="H47" s="9" t="n"/>
      <c r="I47" s="26">
        <f>IF(H47="","",IF(H47="accepté","oui","non"))</f>
        <v/>
      </c>
    </row>
  </sheetData>
  <mergeCells count="2">
    <mergeCell ref="A1:I1"/>
    <mergeCell ref="A3:I3"/>
  </mergeCells>
  <dataValidations count="3">
    <dataValidation sqref="D7:D47" showDropDown="0" showInputMessage="0" showErrorMessage="1" allowBlank="1" errorTitle="Valeur invalide" error="Choisis une valeur dans la liste déroulante." type="list">
      <formula1>"offre complémentaire,régie,plus-value,moins-value,réclamation"</formula1>
    </dataValidation>
    <dataValidation sqref="E7:E47" showDropDown="0" showInputMessage="0" showErrorMessage="1" allowBlank="1" errorTitle="Valeur invalide" error="Choisis une valeur dans la liste déroulante." type="list">
      <formula1>=Parametres!$E$3:$E$25</formula1>
    </dataValidation>
    <dataValidation sqref="H7:H47" showDropDown="0" showInputMessage="0" showErrorMessage="1" allowBlank="1" errorTitle="Valeur invalide" error="Choisis une valeur dans la liste déroulante." type="list">
      <formula1>"annoncé,accepté,refusé"</formula1>
    </dataValidation>
  </dataValidations>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1F4E79"/>
    <outlinePr summaryBelow="1" summaryRight="1"/>
    <pageSetUpPr fitToPage="1"/>
  </sheetPr>
  <dimension ref="A1:P2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42" customWidth="1" min="2" max="2"/>
    <col width="14" customWidth="1" min="3" max="3"/>
    <col width="15" customWidth="1" min="4" max="4"/>
    <col width="15" customWidth="1" min="5" max="5"/>
    <col width="12" customWidth="1" min="6" max="6"/>
    <col width="14" customWidth="1" min="7" max="7"/>
    <col width="13" customWidth="1" min="8" max="8"/>
    <col width="13" customWidth="1" min="9" max="9"/>
    <col width="14" customWidth="1" min="10" max="10"/>
    <col width="14" customWidth="1" min="11" max="11"/>
    <col width="14" customWidth="1" min="12" max="12"/>
    <col width="13" customWidth="1" min="13" max="13"/>
    <col width="10" customWidth="1" min="14" max="14"/>
    <col width="11" customWidth="1" min="15" max="15"/>
    <col hidden="1" width="13" customWidth="1" min="16" max="16"/>
  </cols>
  <sheetData>
    <row r="1" ht="30" customHeight="1">
      <c r="A1" s="1" t="inlineStr">
        <is>
          <t>PRÉVISION FIN DE CHANTIER (PFC) ET MARGE PRÉVUE</t>
        </is>
      </c>
      <c r="B1" s="2" t="n"/>
      <c r="C1" s="2" t="n"/>
      <c r="D1" s="2" t="n"/>
      <c r="E1" s="2" t="n"/>
      <c r="F1" s="2" t="n"/>
      <c r="G1" s="2" t="n"/>
      <c r="H1" s="2" t="n"/>
      <c r="I1" s="2" t="n"/>
      <c r="J1" s="2" t="n"/>
      <c r="K1" s="2" t="n"/>
      <c r="L1" s="2" t="n"/>
      <c r="M1" s="2" t="n"/>
      <c r="N1" s="2" t="n"/>
      <c r="O1" s="2" t="n"/>
      <c r="P1" s="2" t="n"/>
    </row>
    <row r="3" ht="45" customHeight="1">
      <c r="A3" s="8" t="inlineStr">
        <is>
          <t>CFC</t>
        </is>
      </c>
      <c r="B3" s="8" t="inlineStr">
        <is>
          <t>Libellé</t>
        </is>
      </c>
      <c r="C3" s="8" t="inlineStr">
        <is>
          <t>Budget corrigé</t>
        </is>
      </c>
      <c r="D3" s="8" t="inlineStr">
        <is>
          <t>Engagé</t>
        </is>
      </c>
      <c r="E3" s="8" t="inlineStr">
        <is>
          <t>Reste à engager</t>
        </is>
      </c>
      <c r="F3" s="8" t="inlineStr">
        <is>
          <t>Risques / aléas</t>
        </is>
      </c>
      <c r="G3" s="8" t="inlineStr">
        <is>
          <t>PFC (fin de chantier)</t>
        </is>
      </c>
      <c r="H3" s="8" t="inlineStr">
        <is>
          <t>Écart au budget corrigé</t>
        </is>
      </c>
      <c r="I3" s="8" t="inlineStr">
        <is>
          <t>Suppl. acceptés rattachés</t>
        </is>
      </c>
      <c r="J3" s="8" t="inlineStr">
        <is>
          <t>Prix de vente corrigé</t>
        </is>
      </c>
      <c r="K3" s="8" t="inlineStr">
        <is>
          <t>Marge prévisionnelle</t>
        </is>
      </c>
      <c r="L3" s="8" t="inlineStr">
        <is>
          <t>% Marge prévisionnelle</t>
        </is>
      </c>
      <c r="M3" s="8" t="inlineStr">
        <is>
          <t>Marge initiale (réf.)</t>
        </is>
      </c>
      <c r="N3" s="8" t="inlineStr">
        <is>
          <t>% Marge initiale (réf.)</t>
        </is>
      </c>
      <c r="O3" s="8" t="inlineStr">
        <is>
          <t>Écart de marge (points)</t>
        </is>
      </c>
      <c r="P3" s="8" t="inlineStr">
        <is>
          <t>Clé de tri (départage)</t>
        </is>
      </c>
    </row>
    <row r="4">
      <c r="A4" s="26">
        <f>'Budget'!A4</f>
        <v/>
      </c>
      <c r="B4" s="27">
        <f>'Budget'!B4</f>
        <v/>
      </c>
      <c r="C4" s="17">
        <f>Budget!$J4</f>
        <v/>
      </c>
      <c r="D4" s="17">
        <f>SUMIFS(Engagements!$F$32:$F$82,Engagements!$D$32:$D$82,A4)</f>
        <v/>
      </c>
      <c r="E4" s="16" t="n">
        <v>199500</v>
      </c>
      <c r="F4" s="16" t="n">
        <v>2500</v>
      </c>
      <c r="G4" s="17">
        <f>D4+E4+F4</f>
        <v/>
      </c>
      <c r="H4" s="17">
        <f>G4-C4</f>
        <v/>
      </c>
      <c r="I4" s="17">
        <f>SUMIFS('Regie-PV-MV'!$F$7:$F$47,'Regie-PV-MV'!$E$7:$E$47,A4,'Regie-PV-MV'!$H$7:$H$47,"accepté")</f>
        <v/>
      </c>
      <c r="J4" s="17">
        <f>Budget!$C4+I4</f>
        <v/>
      </c>
      <c r="K4" s="17">
        <f>J4-G4</f>
        <v/>
      </c>
      <c r="L4" s="18">
        <f>IF(J4=0,0,K4/J4)</f>
        <v/>
      </c>
      <c r="M4" s="17">
        <f>Budget!$K4</f>
        <v/>
      </c>
      <c r="N4" s="18">
        <f>IF(Budget!$C4=0,0,M4/Budget!$C4)</f>
        <v/>
      </c>
      <c r="O4" s="34">
        <f>(L4-N4)*100</f>
        <v/>
      </c>
      <c r="P4" s="35">
        <f>H4+ROW()/1000000</f>
        <v/>
      </c>
    </row>
    <row r="5">
      <c r="A5" s="28">
        <f>'Budget'!A5</f>
        <v/>
      </c>
      <c r="B5" s="29">
        <f>'Budget'!B5</f>
        <v/>
      </c>
      <c r="C5" s="19">
        <f>Budget!$J5</f>
        <v/>
      </c>
      <c r="D5" s="19">
        <f>SUMIFS(Engagements!$F$32:$F$82,Engagements!$D$32:$D$82,A5)</f>
        <v/>
      </c>
      <c r="E5" s="16" t="n">
        <v>40000</v>
      </c>
      <c r="F5" s="16" t="n">
        <v>15000</v>
      </c>
      <c r="G5" s="19">
        <f>D5+E5+F5</f>
        <v/>
      </c>
      <c r="H5" s="19">
        <f>G5-C5</f>
        <v/>
      </c>
      <c r="I5" s="19">
        <f>SUMIFS('Regie-PV-MV'!$F$7:$F$47,'Regie-PV-MV'!$E$7:$E$47,A5,'Regie-PV-MV'!$H$7:$H$47,"accepté")</f>
        <v/>
      </c>
      <c r="J5" s="19">
        <f>Budget!$C5+I5</f>
        <v/>
      </c>
      <c r="K5" s="19">
        <f>J5-G5</f>
        <v/>
      </c>
      <c r="L5" s="20">
        <f>IF(J5=0,0,K5/J5)</f>
        <v/>
      </c>
      <c r="M5" s="19">
        <f>Budget!$K5</f>
        <v/>
      </c>
      <c r="N5" s="20">
        <f>IF(Budget!$C5=0,0,M5/Budget!$C5)</f>
        <v/>
      </c>
      <c r="O5" s="36">
        <f>(L5-N5)*100</f>
        <v/>
      </c>
      <c r="P5" s="37">
        <f>H5+ROW()/1000000</f>
        <v/>
      </c>
    </row>
    <row r="6">
      <c r="A6" s="26">
        <f>'Budget'!A6</f>
        <v/>
      </c>
      <c r="B6" s="27">
        <f>'Budget'!B6</f>
        <v/>
      </c>
      <c r="C6" s="17">
        <f>Budget!$J6</f>
        <v/>
      </c>
      <c r="D6" s="17">
        <f>SUMIFS(Engagements!$F$32:$F$82,Engagements!$D$32:$D$82,A6)</f>
        <v/>
      </c>
      <c r="E6" s="16" t="n">
        <v>486100</v>
      </c>
      <c r="F6" s="16" t="n">
        <v>2000</v>
      </c>
      <c r="G6" s="17">
        <f>D6+E6+F6</f>
        <v/>
      </c>
      <c r="H6" s="17">
        <f>G6-C6</f>
        <v/>
      </c>
      <c r="I6" s="17">
        <f>SUMIFS('Regie-PV-MV'!$F$7:$F$47,'Regie-PV-MV'!$E$7:$E$47,A6,'Regie-PV-MV'!$H$7:$H$47,"accepté")</f>
        <v/>
      </c>
      <c r="J6" s="17">
        <f>Budget!$C6+I6</f>
        <v/>
      </c>
      <c r="K6" s="17">
        <f>J6-G6</f>
        <v/>
      </c>
      <c r="L6" s="18">
        <f>IF(J6=0,0,K6/J6)</f>
        <v/>
      </c>
      <c r="M6" s="17">
        <f>Budget!$K6</f>
        <v/>
      </c>
      <c r="N6" s="18">
        <f>IF(Budget!$C6=0,0,M6/Budget!$C6)</f>
        <v/>
      </c>
      <c r="O6" s="34">
        <f>(L6-N6)*100</f>
        <v/>
      </c>
      <c r="P6" s="35">
        <f>H6+ROW()/1000000</f>
        <v/>
      </c>
    </row>
    <row r="7">
      <c r="A7" s="28">
        <f>'Budget'!A7</f>
        <v/>
      </c>
      <c r="B7" s="29">
        <f>'Budget'!B7</f>
        <v/>
      </c>
      <c r="C7" s="19">
        <f>Budget!$J7</f>
        <v/>
      </c>
      <c r="D7" s="19">
        <f>SUMIFS(Engagements!$F$32:$F$82,Engagements!$D$32:$D$82,A7)</f>
        <v/>
      </c>
      <c r="E7" s="16" t="n">
        <v>10000</v>
      </c>
      <c r="F7" s="16" t="n">
        <v>5000</v>
      </c>
      <c r="G7" s="19">
        <f>D7+E7+F7</f>
        <v/>
      </c>
      <c r="H7" s="19">
        <f>G7-C7</f>
        <v/>
      </c>
      <c r="I7" s="19">
        <f>SUMIFS('Regie-PV-MV'!$F$7:$F$47,'Regie-PV-MV'!$E$7:$E$47,A7,'Regie-PV-MV'!$H$7:$H$47,"accepté")</f>
        <v/>
      </c>
      <c r="J7" s="19">
        <f>Budget!$C7+I7</f>
        <v/>
      </c>
      <c r="K7" s="19">
        <f>J7-G7</f>
        <v/>
      </c>
      <c r="L7" s="20">
        <f>IF(J7=0,0,K7/J7)</f>
        <v/>
      </c>
      <c r="M7" s="19">
        <f>Budget!$K7</f>
        <v/>
      </c>
      <c r="N7" s="20">
        <f>IF(Budget!$C7=0,0,M7/Budget!$C7)</f>
        <v/>
      </c>
      <c r="O7" s="36">
        <f>(L7-N7)*100</f>
        <v/>
      </c>
      <c r="P7" s="37">
        <f>H7+ROW()/1000000</f>
        <v/>
      </c>
    </row>
    <row r="8">
      <c r="A8" s="26">
        <f>'Budget'!A8</f>
        <v/>
      </c>
      <c r="B8" s="27">
        <f>'Budget'!B8</f>
        <v/>
      </c>
      <c r="C8" s="17">
        <f>Budget!$J8</f>
        <v/>
      </c>
      <c r="D8" s="17">
        <f>SUMIFS(Engagements!$F$32:$F$82,Engagements!$D$32:$D$82,A8)</f>
        <v/>
      </c>
      <c r="E8" s="16" t="n">
        <v>103100</v>
      </c>
      <c r="F8" s="16" t="n">
        <v>400</v>
      </c>
      <c r="G8" s="17">
        <f>D8+E8+F8</f>
        <v/>
      </c>
      <c r="H8" s="17">
        <f>G8-C8</f>
        <v/>
      </c>
      <c r="I8" s="17">
        <f>SUMIFS('Regie-PV-MV'!$F$7:$F$47,'Regie-PV-MV'!$E$7:$E$47,A8,'Regie-PV-MV'!$H$7:$H$47,"accepté")</f>
        <v/>
      </c>
      <c r="J8" s="17">
        <f>Budget!$C8+I8</f>
        <v/>
      </c>
      <c r="K8" s="17">
        <f>J8-G8</f>
        <v/>
      </c>
      <c r="L8" s="18">
        <f>IF(J8=0,0,K8/J8)</f>
        <v/>
      </c>
      <c r="M8" s="17">
        <f>Budget!$K8</f>
        <v/>
      </c>
      <c r="N8" s="18">
        <f>IF(Budget!$C8=0,0,M8/Budget!$C8)</f>
        <v/>
      </c>
      <c r="O8" s="34">
        <f>(L8-N8)*100</f>
        <v/>
      </c>
      <c r="P8" s="35">
        <f>H8+ROW()/1000000</f>
        <v/>
      </c>
    </row>
    <row r="9">
      <c r="A9" s="28">
        <f>'Budget'!A9</f>
        <v/>
      </c>
      <c r="B9" s="29">
        <f>'Budget'!B9</f>
        <v/>
      </c>
      <c r="C9" s="19">
        <f>Budget!$J9</f>
        <v/>
      </c>
      <c r="D9" s="19">
        <f>SUMIFS(Engagements!$F$32:$F$82,Engagements!$D$32:$D$82,A9)</f>
        <v/>
      </c>
      <c r="E9" s="16" t="n">
        <v>50600</v>
      </c>
      <c r="F9" s="16" t="n">
        <v>1800</v>
      </c>
      <c r="G9" s="19">
        <f>D9+E9+F9</f>
        <v/>
      </c>
      <c r="H9" s="19">
        <f>G9-C9</f>
        <v/>
      </c>
      <c r="I9" s="19">
        <f>SUMIFS('Regie-PV-MV'!$F$7:$F$47,'Regie-PV-MV'!$E$7:$E$47,A9,'Regie-PV-MV'!$H$7:$H$47,"accepté")</f>
        <v/>
      </c>
      <c r="J9" s="19">
        <f>Budget!$C9+I9</f>
        <v/>
      </c>
      <c r="K9" s="19">
        <f>J9-G9</f>
        <v/>
      </c>
      <c r="L9" s="20">
        <f>IF(J9=0,0,K9/J9)</f>
        <v/>
      </c>
      <c r="M9" s="19">
        <f>Budget!$K9</f>
        <v/>
      </c>
      <c r="N9" s="20">
        <f>IF(Budget!$C9=0,0,M9/Budget!$C9)</f>
        <v/>
      </c>
      <c r="O9" s="36">
        <f>(L9-N9)*100</f>
        <v/>
      </c>
      <c r="P9" s="37">
        <f>H9+ROW()/1000000</f>
        <v/>
      </c>
    </row>
    <row r="10">
      <c r="A10" s="26">
        <f>'Budget'!A10</f>
        <v/>
      </c>
      <c r="B10" s="27">
        <f>'Budget'!B10</f>
        <v/>
      </c>
      <c r="C10" s="17">
        <f>Budget!$J10</f>
        <v/>
      </c>
      <c r="D10" s="17">
        <f>SUMIFS(Engagements!$F$32:$F$82,Engagements!$D$32:$D$82,A10)</f>
        <v/>
      </c>
      <c r="E10" s="16" t="n">
        <v>120200</v>
      </c>
      <c r="F10" s="16" t="n">
        <v>500</v>
      </c>
      <c r="G10" s="17">
        <f>D10+E10+F10</f>
        <v/>
      </c>
      <c r="H10" s="17">
        <f>G10-C10</f>
        <v/>
      </c>
      <c r="I10" s="17">
        <f>SUMIFS('Regie-PV-MV'!$F$7:$F$47,'Regie-PV-MV'!$E$7:$E$47,A10,'Regie-PV-MV'!$H$7:$H$47,"accepté")</f>
        <v/>
      </c>
      <c r="J10" s="17">
        <f>Budget!$C10+I10</f>
        <v/>
      </c>
      <c r="K10" s="17">
        <f>J10-G10</f>
        <v/>
      </c>
      <c r="L10" s="18">
        <f>IF(J10=0,0,K10/J10)</f>
        <v/>
      </c>
      <c r="M10" s="17">
        <f>Budget!$K10</f>
        <v/>
      </c>
      <c r="N10" s="18">
        <f>IF(Budget!$C10=0,0,M10/Budget!$C10)</f>
        <v/>
      </c>
      <c r="O10" s="34">
        <f>(L10-N10)*100</f>
        <v/>
      </c>
      <c r="P10" s="35">
        <f>H10+ROW()/1000000</f>
        <v/>
      </c>
    </row>
    <row r="11">
      <c r="A11" s="28">
        <f>'Budget'!A11</f>
        <v/>
      </c>
      <c r="B11" s="29">
        <f>'Budget'!B11</f>
        <v/>
      </c>
      <c r="C11" s="19">
        <f>Budget!$J11</f>
        <v/>
      </c>
      <c r="D11" s="19">
        <f>SUMIFS(Engagements!$F$32:$F$82,Engagements!$D$32:$D$82,A11)</f>
        <v/>
      </c>
      <c r="E11" s="16" t="n">
        <v>10000</v>
      </c>
      <c r="F11" s="16" t="n">
        <v>800</v>
      </c>
      <c r="G11" s="19">
        <f>D11+E11+F11</f>
        <v/>
      </c>
      <c r="H11" s="19">
        <f>G11-C11</f>
        <v/>
      </c>
      <c r="I11" s="19">
        <f>SUMIFS('Regie-PV-MV'!$F$7:$F$47,'Regie-PV-MV'!$E$7:$E$47,A11,'Regie-PV-MV'!$H$7:$H$47,"accepté")</f>
        <v/>
      </c>
      <c r="J11" s="19">
        <f>Budget!$C11+I11</f>
        <v/>
      </c>
      <c r="K11" s="19">
        <f>J11-G11</f>
        <v/>
      </c>
      <c r="L11" s="20">
        <f>IF(J11=0,0,K11/J11)</f>
        <v/>
      </c>
      <c r="M11" s="19">
        <f>Budget!$K11</f>
        <v/>
      </c>
      <c r="N11" s="20">
        <f>IF(Budget!$C11=0,0,M11/Budget!$C11)</f>
        <v/>
      </c>
      <c r="O11" s="36">
        <f>(L11-N11)*100</f>
        <v/>
      </c>
      <c r="P11" s="37">
        <f>H11+ROW()/1000000</f>
        <v/>
      </c>
    </row>
    <row r="12">
      <c r="A12" s="26">
        <f>'Budget'!A12</f>
        <v/>
      </c>
      <c r="B12" s="27">
        <f>'Budget'!B12</f>
        <v/>
      </c>
      <c r="C12" s="17">
        <f>Budget!$J12</f>
        <v/>
      </c>
      <c r="D12" s="17">
        <f>SUMIFS(Engagements!$F$32:$F$82,Engagements!$D$32:$D$82,A12)</f>
        <v/>
      </c>
      <c r="E12" s="16" t="n">
        <v>100200</v>
      </c>
      <c r="F12" s="16" t="n">
        <v>400</v>
      </c>
      <c r="G12" s="17">
        <f>D12+E12+F12</f>
        <v/>
      </c>
      <c r="H12" s="17">
        <f>G12-C12</f>
        <v/>
      </c>
      <c r="I12" s="17">
        <f>SUMIFS('Regie-PV-MV'!$F$7:$F$47,'Regie-PV-MV'!$E$7:$E$47,A12,'Regie-PV-MV'!$H$7:$H$47,"accepté")</f>
        <v/>
      </c>
      <c r="J12" s="17">
        <f>Budget!$C12+I12</f>
        <v/>
      </c>
      <c r="K12" s="17">
        <f>J12-G12</f>
        <v/>
      </c>
      <c r="L12" s="18">
        <f>IF(J12=0,0,K12/J12)</f>
        <v/>
      </c>
      <c r="M12" s="17">
        <f>Budget!$K12</f>
        <v/>
      </c>
      <c r="N12" s="18">
        <f>IF(Budget!$C12=0,0,M12/Budget!$C12)</f>
        <v/>
      </c>
      <c r="O12" s="34">
        <f>(L12-N12)*100</f>
        <v/>
      </c>
      <c r="P12" s="35">
        <f>H12+ROW()/1000000</f>
        <v/>
      </c>
    </row>
    <row r="13">
      <c r="A13" s="28">
        <f>'Budget'!A13</f>
        <v/>
      </c>
      <c r="B13" s="29">
        <f>'Budget'!B13</f>
        <v/>
      </c>
      <c r="C13" s="19">
        <f>Budget!$J13</f>
        <v/>
      </c>
      <c r="D13" s="19">
        <f>SUMIFS(Engagements!$F$32:$F$82,Engagements!$D$32:$D$82,A13)</f>
        <v/>
      </c>
      <c r="E13" s="16" t="n">
        <v>28200</v>
      </c>
      <c r="F13" s="16" t="n">
        <v>1500</v>
      </c>
      <c r="G13" s="19">
        <f>D13+E13+F13</f>
        <v/>
      </c>
      <c r="H13" s="19">
        <f>G13-C13</f>
        <v/>
      </c>
      <c r="I13" s="19">
        <f>SUMIFS('Regie-PV-MV'!$F$7:$F$47,'Regie-PV-MV'!$E$7:$E$47,A13,'Regie-PV-MV'!$H$7:$H$47,"accepté")</f>
        <v/>
      </c>
      <c r="J13" s="19">
        <f>Budget!$C13+I13</f>
        <v/>
      </c>
      <c r="K13" s="19">
        <f>J13-G13</f>
        <v/>
      </c>
      <c r="L13" s="20">
        <f>IF(J13=0,0,K13/J13)</f>
        <v/>
      </c>
      <c r="M13" s="19">
        <f>Budget!$K13</f>
        <v/>
      </c>
      <c r="N13" s="20">
        <f>IF(Budget!$C13=0,0,M13/Budget!$C13)</f>
        <v/>
      </c>
      <c r="O13" s="36">
        <f>(L13-N13)*100</f>
        <v/>
      </c>
      <c r="P13" s="37">
        <f>H13+ROW()/1000000</f>
        <v/>
      </c>
    </row>
    <row r="14">
      <c r="A14" s="26">
        <f>'Budget'!A14</f>
        <v/>
      </c>
      <c r="B14" s="27">
        <f>'Budget'!B14</f>
        <v/>
      </c>
      <c r="C14" s="17">
        <f>Budget!$J14</f>
        <v/>
      </c>
      <c r="D14" s="17">
        <f>SUMIFS(Engagements!$F$32:$F$82,Engagements!$D$32:$D$82,A14)</f>
        <v/>
      </c>
      <c r="E14" s="16" t="n">
        <v>29600</v>
      </c>
      <c r="F14" s="16" t="n">
        <v>2500</v>
      </c>
      <c r="G14" s="17">
        <f>D14+E14+F14</f>
        <v/>
      </c>
      <c r="H14" s="17">
        <f>G14-C14</f>
        <v/>
      </c>
      <c r="I14" s="17">
        <f>SUMIFS('Regie-PV-MV'!$F$7:$F$47,'Regie-PV-MV'!$E$7:$E$47,A14,'Regie-PV-MV'!$H$7:$H$47,"accepté")</f>
        <v/>
      </c>
      <c r="J14" s="17">
        <f>Budget!$C14+I14</f>
        <v/>
      </c>
      <c r="K14" s="17">
        <f>J14-G14</f>
        <v/>
      </c>
      <c r="L14" s="18">
        <f>IF(J14=0,0,K14/J14)</f>
        <v/>
      </c>
      <c r="M14" s="17">
        <f>Budget!$K14</f>
        <v/>
      </c>
      <c r="N14" s="18">
        <f>IF(Budget!$C14=0,0,M14/Budget!$C14)</f>
        <v/>
      </c>
      <c r="O14" s="34">
        <f>(L14-N14)*100</f>
        <v/>
      </c>
      <c r="P14" s="35">
        <f>H14+ROW()/1000000</f>
        <v/>
      </c>
    </row>
    <row r="15">
      <c r="A15" s="28">
        <f>'Budget'!A15</f>
        <v/>
      </c>
      <c r="B15" s="29">
        <f>'Budget'!B15</f>
        <v/>
      </c>
      <c r="C15" s="19">
        <f>Budget!$J15</f>
        <v/>
      </c>
      <c r="D15" s="19">
        <f>SUMIFS(Engagements!$F$32:$F$82,Engagements!$D$32:$D$82,A15)</f>
        <v/>
      </c>
      <c r="E15" s="16" t="n">
        <v>30000</v>
      </c>
      <c r="F15" s="16" t="n">
        <v>20000</v>
      </c>
      <c r="G15" s="19">
        <f>D15+E15+F15</f>
        <v/>
      </c>
      <c r="H15" s="19">
        <f>G15-C15</f>
        <v/>
      </c>
      <c r="I15" s="19">
        <f>SUMIFS('Regie-PV-MV'!$F$7:$F$47,'Regie-PV-MV'!$E$7:$E$47,A15,'Regie-PV-MV'!$H$7:$H$47,"accepté")</f>
        <v/>
      </c>
      <c r="J15" s="19">
        <f>Budget!$C15+I15</f>
        <v/>
      </c>
      <c r="K15" s="19">
        <f>J15-G15</f>
        <v/>
      </c>
      <c r="L15" s="20">
        <f>IF(J15=0,0,K15/J15)</f>
        <v/>
      </c>
      <c r="M15" s="19">
        <f>Budget!$K15</f>
        <v/>
      </c>
      <c r="N15" s="20">
        <f>IF(Budget!$C15=0,0,M15/Budget!$C15)</f>
        <v/>
      </c>
      <c r="O15" s="36">
        <f>(L15-N15)*100</f>
        <v/>
      </c>
      <c r="P15" s="37">
        <f>H15+ROW()/1000000</f>
        <v/>
      </c>
    </row>
    <row r="16">
      <c r="A16" s="26">
        <f>'Budget'!A16</f>
        <v/>
      </c>
      <c r="B16" s="27">
        <f>'Budget'!B16</f>
        <v/>
      </c>
      <c r="C16" s="17">
        <f>Budget!$J16</f>
        <v/>
      </c>
      <c r="D16" s="17">
        <f>SUMIFS(Engagements!$F$32:$F$82,Engagements!$D$32:$D$82,A16)</f>
        <v/>
      </c>
      <c r="E16" s="16" t="n">
        <v>25700</v>
      </c>
      <c r="F16" s="16" t="n">
        <v>2000</v>
      </c>
      <c r="G16" s="17">
        <f>D16+E16+F16</f>
        <v/>
      </c>
      <c r="H16" s="17">
        <f>G16-C16</f>
        <v/>
      </c>
      <c r="I16" s="17">
        <f>SUMIFS('Regie-PV-MV'!$F$7:$F$47,'Regie-PV-MV'!$E$7:$E$47,A16,'Regie-PV-MV'!$H$7:$H$47,"accepté")</f>
        <v/>
      </c>
      <c r="J16" s="17">
        <f>Budget!$C16+I16</f>
        <v/>
      </c>
      <c r="K16" s="17">
        <f>J16-G16</f>
        <v/>
      </c>
      <c r="L16" s="18">
        <f>IF(J16=0,0,K16/J16)</f>
        <v/>
      </c>
      <c r="M16" s="17">
        <f>Budget!$K16</f>
        <v/>
      </c>
      <c r="N16" s="18">
        <f>IF(Budget!$C16=0,0,M16/Budget!$C16)</f>
        <v/>
      </c>
      <c r="O16" s="34">
        <f>(L16-N16)*100</f>
        <v/>
      </c>
      <c r="P16" s="35">
        <f>H16+ROW()/1000000</f>
        <v/>
      </c>
    </row>
    <row r="17">
      <c r="A17" s="28">
        <f>'Budget'!A17</f>
        <v/>
      </c>
      <c r="B17" s="29">
        <f>'Budget'!B17</f>
        <v/>
      </c>
      <c r="C17" s="19">
        <f>Budget!$J17</f>
        <v/>
      </c>
      <c r="D17" s="19">
        <f>SUMIFS(Engagements!$F$32:$F$82,Engagements!$D$32:$D$82,A17)</f>
        <v/>
      </c>
      <c r="E17" s="16" t="n">
        <v>5800</v>
      </c>
      <c r="F17" s="16" t="n">
        <v>1000</v>
      </c>
      <c r="G17" s="19">
        <f>D17+E17+F17</f>
        <v/>
      </c>
      <c r="H17" s="19">
        <f>G17-C17</f>
        <v/>
      </c>
      <c r="I17" s="19">
        <f>SUMIFS('Regie-PV-MV'!$F$7:$F$47,'Regie-PV-MV'!$E$7:$E$47,A17,'Regie-PV-MV'!$H$7:$H$47,"accepté")</f>
        <v/>
      </c>
      <c r="J17" s="19">
        <f>Budget!$C17+I17</f>
        <v/>
      </c>
      <c r="K17" s="19">
        <f>J17-G17</f>
        <v/>
      </c>
      <c r="L17" s="20">
        <f>IF(J17=0,0,K17/J17)</f>
        <v/>
      </c>
      <c r="M17" s="19">
        <f>Budget!$K17</f>
        <v/>
      </c>
      <c r="N17" s="20">
        <f>IF(Budget!$C17=0,0,M17/Budget!$C17)</f>
        <v/>
      </c>
      <c r="O17" s="36">
        <f>(L17-N17)*100</f>
        <v/>
      </c>
      <c r="P17" s="37">
        <f>H17+ROW()/1000000</f>
        <v/>
      </c>
    </row>
    <row r="18">
      <c r="A18" s="26">
        <f>'Budget'!A18</f>
        <v/>
      </c>
      <c r="B18" s="27">
        <f>'Budget'!B18</f>
        <v/>
      </c>
      <c r="C18" s="17">
        <f>Budget!$J18</f>
        <v/>
      </c>
      <c r="D18" s="17">
        <f>SUMIFS(Engagements!$F$32:$F$82,Engagements!$D$32:$D$82,A18)</f>
        <v/>
      </c>
      <c r="E18" s="16" t="n">
        <v>22500</v>
      </c>
      <c r="F18" s="16" t="n">
        <v>1300</v>
      </c>
      <c r="G18" s="17">
        <f>D18+E18+F18</f>
        <v/>
      </c>
      <c r="H18" s="17">
        <f>G18-C18</f>
        <v/>
      </c>
      <c r="I18" s="17">
        <f>SUMIFS('Regie-PV-MV'!$F$7:$F$47,'Regie-PV-MV'!$E$7:$E$47,A18,'Regie-PV-MV'!$H$7:$H$47,"accepté")</f>
        <v/>
      </c>
      <c r="J18" s="17">
        <f>Budget!$C18+I18</f>
        <v/>
      </c>
      <c r="K18" s="17">
        <f>J18-G18</f>
        <v/>
      </c>
      <c r="L18" s="18">
        <f>IF(J18=0,0,K18/J18)</f>
        <v/>
      </c>
      <c r="M18" s="17">
        <f>Budget!$K18</f>
        <v/>
      </c>
      <c r="N18" s="18">
        <f>IF(Budget!$C18=0,0,M18/Budget!$C18)</f>
        <v/>
      </c>
      <c r="O18" s="34">
        <f>(L18-N18)*100</f>
        <v/>
      </c>
      <c r="P18" s="35">
        <f>H18+ROW()/1000000</f>
        <v/>
      </c>
    </row>
    <row r="19">
      <c r="A19" s="28">
        <f>'Budget'!A19</f>
        <v/>
      </c>
      <c r="B19" s="29">
        <f>'Budget'!B19</f>
        <v/>
      </c>
      <c r="C19" s="19">
        <f>Budget!$J19</f>
        <v/>
      </c>
      <c r="D19" s="19">
        <f>SUMIFS(Engagements!$F$32:$F$82,Engagements!$D$32:$D$82,A19)</f>
        <v/>
      </c>
      <c r="E19" s="16" t="n">
        <v>13400</v>
      </c>
      <c r="F19" s="16" t="n">
        <v>700</v>
      </c>
      <c r="G19" s="19">
        <f>D19+E19+F19</f>
        <v/>
      </c>
      <c r="H19" s="19">
        <f>G19-C19</f>
        <v/>
      </c>
      <c r="I19" s="19">
        <f>SUMIFS('Regie-PV-MV'!$F$7:$F$47,'Regie-PV-MV'!$E$7:$E$47,A19,'Regie-PV-MV'!$H$7:$H$47,"accepté")</f>
        <v/>
      </c>
      <c r="J19" s="19">
        <f>Budget!$C19+I19</f>
        <v/>
      </c>
      <c r="K19" s="19">
        <f>J19-G19</f>
        <v/>
      </c>
      <c r="L19" s="20">
        <f>IF(J19=0,0,K19/J19)</f>
        <v/>
      </c>
      <c r="M19" s="19">
        <f>Budget!$K19</f>
        <v/>
      </c>
      <c r="N19" s="20">
        <f>IF(Budget!$C19=0,0,M19/Budget!$C19)</f>
        <v/>
      </c>
      <c r="O19" s="36">
        <f>(L19-N19)*100</f>
        <v/>
      </c>
      <c r="P19" s="37">
        <f>H19+ROW()/1000000</f>
        <v/>
      </c>
    </row>
    <row r="20">
      <c r="A20" s="26">
        <f>'Budget'!A20</f>
        <v/>
      </c>
      <c r="B20" s="27">
        <f>'Budget'!B20</f>
        <v/>
      </c>
      <c r="C20" s="17">
        <f>Budget!$J20</f>
        <v/>
      </c>
      <c r="D20" s="17">
        <f>SUMIFS(Engagements!$F$32:$F$82,Engagements!$D$32:$D$82,A20)</f>
        <v/>
      </c>
      <c r="E20" s="16" t="n">
        <v>17100</v>
      </c>
      <c r="F20" s="16" t="n">
        <v>1100</v>
      </c>
      <c r="G20" s="17">
        <f>D20+E20+F20</f>
        <v/>
      </c>
      <c r="H20" s="17">
        <f>G20-C20</f>
        <v/>
      </c>
      <c r="I20" s="17">
        <f>SUMIFS('Regie-PV-MV'!$F$7:$F$47,'Regie-PV-MV'!$E$7:$E$47,A20,'Regie-PV-MV'!$H$7:$H$47,"accepté")</f>
        <v/>
      </c>
      <c r="J20" s="17">
        <f>Budget!$C20+I20</f>
        <v/>
      </c>
      <c r="K20" s="17">
        <f>J20-G20</f>
        <v/>
      </c>
      <c r="L20" s="18">
        <f>IF(J20=0,0,K20/J20)</f>
        <v/>
      </c>
      <c r="M20" s="17">
        <f>Budget!$K20</f>
        <v/>
      </c>
      <c r="N20" s="18">
        <f>IF(Budget!$C20=0,0,M20/Budget!$C20)</f>
        <v/>
      </c>
      <c r="O20" s="34">
        <f>(L20-N20)*100</f>
        <v/>
      </c>
      <c r="P20" s="35">
        <f>H20+ROW()/1000000</f>
        <v/>
      </c>
    </row>
    <row r="21">
      <c r="A21" s="28">
        <f>'Budget'!A21</f>
        <v/>
      </c>
      <c r="B21" s="29">
        <f>'Budget'!B21</f>
        <v/>
      </c>
      <c r="C21" s="19">
        <f>Budget!$J21</f>
        <v/>
      </c>
      <c r="D21" s="19">
        <f>SUMIFS(Engagements!$F$32:$F$82,Engagements!$D$32:$D$82,A21)</f>
        <v/>
      </c>
      <c r="E21" s="16" t="n">
        <v>14900</v>
      </c>
      <c r="F21" s="16" t="n">
        <v>800</v>
      </c>
      <c r="G21" s="19">
        <f>D21+E21+F21</f>
        <v/>
      </c>
      <c r="H21" s="19">
        <f>G21-C21</f>
        <v/>
      </c>
      <c r="I21" s="19">
        <f>SUMIFS('Regie-PV-MV'!$F$7:$F$47,'Regie-PV-MV'!$E$7:$E$47,A21,'Regie-PV-MV'!$H$7:$H$47,"accepté")</f>
        <v/>
      </c>
      <c r="J21" s="19">
        <f>Budget!$C21+I21</f>
        <v/>
      </c>
      <c r="K21" s="19">
        <f>J21-G21</f>
        <v/>
      </c>
      <c r="L21" s="20">
        <f>IF(J21=0,0,K21/J21)</f>
        <v/>
      </c>
      <c r="M21" s="19">
        <f>Budget!$K21</f>
        <v/>
      </c>
      <c r="N21" s="20">
        <f>IF(Budget!$C21=0,0,M21/Budget!$C21)</f>
        <v/>
      </c>
      <c r="O21" s="36">
        <f>(L21-N21)*100</f>
        <v/>
      </c>
      <c r="P21" s="37">
        <f>H21+ROW()/1000000</f>
        <v/>
      </c>
    </row>
    <row r="22">
      <c r="A22" s="26">
        <f>'Budget'!A22</f>
        <v/>
      </c>
      <c r="B22" s="27">
        <f>'Budget'!B22</f>
        <v/>
      </c>
      <c r="C22" s="17">
        <f>Budget!$J22</f>
        <v/>
      </c>
      <c r="D22" s="17">
        <f>SUMIFS(Engagements!$F$32:$F$82,Engagements!$D$32:$D$82,A22)</f>
        <v/>
      </c>
      <c r="E22" s="16" t="n">
        <v>26400</v>
      </c>
      <c r="F22" s="16" t="n">
        <v>1100</v>
      </c>
      <c r="G22" s="17">
        <f>D22+E22+F22</f>
        <v/>
      </c>
      <c r="H22" s="17">
        <f>G22-C22</f>
        <v/>
      </c>
      <c r="I22" s="17">
        <f>SUMIFS('Regie-PV-MV'!$F$7:$F$47,'Regie-PV-MV'!$E$7:$E$47,A22,'Regie-PV-MV'!$H$7:$H$47,"accepté")</f>
        <v/>
      </c>
      <c r="J22" s="17">
        <f>Budget!$C22+I22</f>
        <v/>
      </c>
      <c r="K22" s="17">
        <f>J22-G22</f>
        <v/>
      </c>
      <c r="L22" s="18">
        <f>IF(J22=0,0,K22/J22)</f>
        <v/>
      </c>
      <c r="M22" s="17">
        <f>Budget!$K22</f>
        <v/>
      </c>
      <c r="N22" s="18">
        <f>IF(Budget!$C22=0,0,M22/Budget!$C22)</f>
        <v/>
      </c>
      <c r="O22" s="34">
        <f>(L22-N22)*100</f>
        <v/>
      </c>
      <c r="P22" s="35">
        <f>H22+ROW()/1000000</f>
        <v/>
      </c>
    </row>
    <row r="23">
      <c r="A23" s="28">
        <f>'Budget'!A23</f>
        <v/>
      </c>
      <c r="B23" s="29">
        <f>'Budget'!B23</f>
        <v/>
      </c>
      <c r="C23" s="19">
        <f>Budget!$J23</f>
        <v/>
      </c>
      <c r="D23" s="19">
        <f>SUMIFS(Engagements!$F$32:$F$82,Engagements!$D$32:$D$82,A23)</f>
        <v/>
      </c>
      <c r="E23" s="16" t="n">
        <v>168600</v>
      </c>
      <c r="F23" s="16" t="n">
        <v>700</v>
      </c>
      <c r="G23" s="19">
        <f>D23+E23+F23</f>
        <v/>
      </c>
      <c r="H23" s="19">
        <f>G23-C23</f>
        <v/>
      </c>
      <c r="I23" s="19">
        <f>SUMIFS('Regie-PV-MV'!$F$7:$F$47,'Regie-PV-MV'!$E$7:$E$47,A23,'Regie-PV-MV'!$H$7:$H$47,"accepté")</f>
        <v/>
      </c>
      <c r="J23" s="19">
        <f>Budget!$C23+I23</f>
        <v/>
      </c>
      <c r="K23" s="19">
        <f>J23-G23</f>
        <v/>
      </c>
      <c r="L23" s="20">
        <f>IF(J23=0,0,K23/J23)</f>
        <v/>
      </c>
      <c r="M23" s="19">
        <f>Budget!$K23</f>
        <v/>
      </c>
      <c r="N23" s="20">
        <f>IF(Budget!$C23=0,0,M23/Budget!$C23)</f>
        <v/>
      </c>
      <c r="O23" s="36">
        <f>(L23-N23)*100</f>
        <v/>
      </c>
      <c r="P23" s="37">
        <f>H23+ROW()/1000000</f>
        <v/>
      </c>
    </row>
    <row r="24">
      <c r="A24" s="26">
        <f>'Budget'!A24</f>
        <v/>
      </c>
      <c r="B24" s="27">
        <f>'Budget'!B24</f>
        <v/>
      </c>
      <c r="C24" s="17">
        <f>Budget!$J24</f>
        <v/>
      </c>
      <c r="D24" s="17">
        <f>SUMIFS(Engagements!$F$32:$F$82,Engagements!$D$32:$D$82,A24)</f>
        <v/>
      </c>
      <c r="E24" s="16" t="n">
        <v>108500</v>
      </c>
      <c r="F24" s="16" t="n">
        <v>800</v>
      </c>
      <c r="G24" s="17">
        <f>D24+E24+F24</f>
        <v/>
      </c>
      <c r="H24" s="17">
        <f>G24-C24</f>
        <v/>
      </c>
      <c r="I24" s="17">
        <f>SUMIFS('Regie-PV-MV'!$F$7:$F$47,'Regie-PV-MV'!$E$7:$E$47,A24,'Regie-PV-MV'!$H$7:$H$47,"accepté")</f>
        <v/>
      </c>
      <c r="J24" s="17">
        <f>Budget!$C24+I24</f>
        <v/>
      </c>
      <c r="K24" s="17">
        <f>J24-G24</f>
        <v/>
      </c>
      <c r="L24" s="18">
        <f>IF(J24=0,0,K24/J24)</f>
        <v/>
      </c>
      <c r="M24" s="17">
        <f>Budget!$K24</f>
        <v/>
      </c>
      <c r="N24" s="18">
        <f>IF(Budget!$C24=0,0,M24/Budget!$C24)</f>
        <v/>
      </c>
      <c r="O24" s="34">
        <f>(L24-N24)*100</f>
        <v/>
      </c>
      <c r="P24" s="35">
        <f>H24+ROW()/1000000</f>
        <v/>
      </c>
    </row>
    <row r="25">
      <c r="A25" s="28">
        <f>'Budget'!A25</f>
        <v/>
      </c>
      <c r="B25" s="29">
        <f>'Budget'!B25</f>
        <v/>
      </c>
      <c r="C25" s="19">
        <f>Budget!$J25</f>
        <v/>
      </c>
      <c r="D25" s="19">
        <f>SUMIFS(Engagements!$F$32:$F$82,Engagements!$D$32:$D$82,A25)</f>
        <v/>
      </c>
      <c r="E25" s="16" t="n">
        <v>85700</v>
      </c>
      <c r="F25" s="16" t="n">
        <v>300</v>
      </c>
      <c r="G25" s="19">
        <f>D25+E25+F25</f>
        <v/>
      </c>
      <c r="H25" s="19">
        <f>G25-C25</f>
        <v/>
      </c>
      <c r="I25" s="19">
        <f>SUMIFS('Regie-PV-MV'!$F$7:$F$47,'Regie-PV-MV'!$E$7:$E$47,A25,'Regie-PV-MV'!$H$7:$H$47,"accepté")</f>
        <v/>
      </c>
      <c r="J25" s="19">
        <f>Budget!$C25+I25</f>
        <v/>
      </c>
      <c r="K25" s="19">
        <f>J25-G25</f>
        <v/>
      </c>
      <c r="L25" s="20">
        <f>IF(J25=0,0,K25/J25)</f>
        <v/>
      </c>
      <c r="M25" s="19">
        <f>Budget!$K25</f>
        <v/>
      </c>
      <c r="N25" s="20">
        <f>IF(Budget!$C25=0,0,M25/Budget!$C25)</f>
        <v/>
      </c>
      <c r="O25" s="36">
        <f>(L25-N25)*100</f>
        <v/>
      </c>
      <c r="P25" s="37">
        <f>H25+ROW()/1000000</f>
        <v/>
      </c>
    </row>
    <row r="26">
      <c r="A26" s="24" t="inlineStr">
        <is>
          <t>299</t>
        </is>
      </c>
      <c r="B26" s="30" t="inlineStr">
        <is>
          <t>Divers, travaux imprévus (hors bordereau)</t>
        </is>
      </c>
      <c r="C26" s="17" t="n">
        <v>0</v>
      </c>
      <c r="D26" s="17">
        <f>SUMIFS(Engagements!$F$32:$F$82,Engagements!$D$32:$D$82,A26)</f>
        <v/>
      </c>
      <c r="E26" s="16" t="n">
        <v>0</v>
      </c>
      <c r="F26" s="16" t="n">
        <v>0</v>
      </c>
      <c r="G26" s="17">
        <f>D26+E26+F26</f>
        <v/>
      </c>
      <c r="H26" s="17">
        <f>G26-C26</f>
        <v/>
      </c>
      <c r="I26" s="17">
        <f>SUMIFS('Regie-PV-MV'!$F$7:$F$47,'Regie-PV-MV'!$E$7:$E$47,A26,'Regie-PV-MV'!$H$7:$H$47,"accepté")</f>
        <v/>
      </c>
      <c r="J26" s="17">
        <f>0+I26</f>
        <v/>
      </c>
      <c r="K26" s="17">
        <f>J26-G26</f>
        <v/>
      </c>
      <c r="L26" s="18">
        <f>IF(J26=0,0,K26/J26)</f>
        <v/>
      </c>
      <c r="M26" s="17" t="n">
        <v>0</v>
      </c>
      <c r="N26" s="18" t="n">
        <v>0</v>
      </c>
      <c r="O26" s="34">
        <f>(L26-N26)*100</f>
        <v/>
      </c>
      <c r="P26" s="35">
        <f>H26+ROW()/1000000</f>
        <v/>
      </c>
    </row>
    <row r="27">
      <c r="A27" s="21" t="inlineStr">
        <is>
          <t>TOTAL</t>
        </is>
      </c>
      <c r="B27" s="21" t="inlineStr">
        <is>
          <t>Toutes positions CFC, hors bordereau inclus</t>
        </is>
      </c>
      <c r="C27" s="22">
        <f>SUM(C4:C26)</f>
        <v/>
      </c>
      <c r="D27" s="22">
        <f>SUM(D4:D26)</f>
        <v/>
      </c>
      <c r="E27" s="22">
        <f>SUM(E4:E26)</f>
        <v/>
      </c>
      <c r="F27" s="22">
        <f>SUM(F4:F26)</f>
        <v/>
      </c>
      <c r="G27" s="22">
        <f>SUM(G4:G26)</f>
        <v/>
      </c>
      <c r="H27" s="22">
        <f>SUM(H4:H26)</f>
        <v/>
      </c>
      <c r="I27" s="22">
        <f>SUM(I4:I26)</f>
        <v/>
      </c>
      <c r="J27" s="22">
        <f>SUM(J4:J26)</f>
        <v/>
      </c>
      <c r="K27" s="22">
        <f>SUM(K4:K26)</f>
        <v/>
      </c>
      <c r="L27" s="23">
        <f>IF(J27=0,0,K27/J27)</f>
        <v/>
      </c>
      <c r="M27" s="22">
        <f>SUM(M4:M26)</f>
        <v/>
      </c>
      <c r="N27" s="23">
        <f>IF(SUM('Budget'!$C4:$C25)=0,0,M27/SUM('Budget'!$C4:$C25))</f>
        <v/>
      </c>
      <c r="O27" s="38">
        <f>(L27-N27)*100</f>
        <v/>
      </c>
    </row>
  </sheetData>
  <mergeCells count="1">
    <mergeCell ref="A1:P1"/>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tabColor rgb="001F4E79"/>
    <outlinePr summaryBelow="1" summaryRight="1"/>
    <pageSetUpPr fitToPage="1"/>
  </sheetPr>
  <dimension ref="A1:H2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6" customWidth="1" min="2" max="2"/>
    <col width="17" customWidth="1" min="3" max="3"/>
    <col width="16" customWidth="1" min="4" max="4"/>
    <col width="15" customWidth="1" min="5" max="5"/>
    <col width="14" customWidth="1" min="6" max="6"/>
    <col width="16" customWidth="1" min="7" max="7"/>
    <col width="15" customWidth="1" min="8" max="8"/>
  </cols>
  <sheetData>
    <row r="1" ht="30" customHeight="1">
      <c r="A1" s="1" t="inlineStr">
        <is>
          <t>CASH-FLOW, FACTURATION ET ENCAISSEMENTS (18 MOIS)</t>
        </is>
      </c>
      <c r="B1" s="2" t="n"/>
      <c r="C1" s="2" t="n"/>
      <c r="D1" s="2" t="n"/>
      <c r="E1" s="2" t="n"/>
      <c r="F1" s="2" t="n"/>
      <c r="G1" s="2" t="n"/>
      <c r="H1" s="2" t="n"/>
    </row>
    <row r="3" ht="26" customHeight="1">
      <c r="A3" s="8" t="inlineStr">
        <is>
          <t>Mois</t>
        </is>
      </c>
      <c r="B3" s="8" t="inlineStr">
        <is>
          <t>N°</t>
        </is>
      </c>
      <c r="C3" s="8" t="inlineStr">
        <is>
          <t>Facturation planifiée HT</t>
        </is>
      </c>
      <c r="D3" s="8" t="inlineStr">
        <is>
          <t>Facturation réelle HT</t>
        </is>
      </c>
      <c r="E3" s="8" t="inlineStr">
        <is>
          <t>Cumul planifié</t>
        </is>
      </c>
      <c r="F3" s="8" t="inlineStr">
        <is>
          <t>Cumul réel</t>
        </is>
      </c>
      <c r="G3" s="8" t="inlineStr">
        <is>
          <t>Encaissements TTC</t>
        </is>
      </c>
      <c r="H3" s="8" t="inlineStr">
        <is>
          <t>% Planifié (saisie)</t>
        </is>
      </c>
    </row>
    <row r="4">
      <c r="A4" s="10" t="n">
        <v>46023</v>
      </c>
      <c r="B4" s="9" t="n">
        <v>1</v>
      </c>
      <c r="C4" s="17">
        <f>(Parametres!$B$8*H4)/100</f>
        <v/>
      </c>
      <c r="D4" s="17">
        <f>SUMIFS(Facturation!$C$4:$C$21,Facturation!$A$4:$A$21,A4)</f>
        <v/>
      </c>
      <c r="E4" s="17">
        <f>SUM($C$4:C4)</f>
        <v/>
      </c>
      <c r="F4" s="17">
        <f>SUM($D$4:D4)</f>
        <v/>
      </c>
      <c r="G4" s="17">
        <f>SUMIFS(Facturation!$G$4:$G$21,Facturation!$H$4:$H$21,"Oui",Facturation!$I$4:$I$21,"&gt;="&amp;A4,Facturation!$I$4:$I$21,"&lt;"&amp;EDATE(A4,1))</f>
        <v/>
      </c>
      <c r="H4" s="39" t="n">
        <v>1</v>
      </c>
    </row>
    <row r="5">
      <c r="A5" s="10" t="n">
        <v>46054</v>
      </c>
      <c r="B5" s="9" t="n">
        <v>2</v>
      </c>
      <c r="C5" s="19">
        <f>(Parametres!$B$8*H5)/100</f>
        <v/>
      </c>
      <c r="D5" s="19">
        <f>SUMIFS(Facturation!$C$4:$C$21,Facturation!$A$4:$A$21,A5)</f>
        <v/>
      </c>
      <c r="E5" s="19">
        <f>SUM($C$4:C5)</f>
        <v/>
      </c>
      <c r="F5" s="19">
        <f>SUM($D$4:D5)</f>
        <v/>
      </c>
      <c r="G5" s="19">
        <f>SUMIFS(Facturation!$G$4:$G$21,Facturation!$H$4:$H$21,"Oui",Facturation!$I$4:$I$21,"&gt;="&amp;A5,Facturation!$I$4:$I$21,"&lt;"&amp;EDATE(A5,1))</f>
        <v/>
      </c>
      <c r="H5" s="39" t="n">
        <v>2</v>
      </c>
    </row>
    <row r="6">
      <c r="A6" s="10" t="n">
        <v>46082</v>
      </c>
      <c r="B6" s="9" t="n">
        <v>3</v>
      </c>
      <c r="C6" s="17">
        <f>(Parametres!$B$8*H6)/100</f>
        <v/>
      </c>
      <c r="D6" s="17">
        <f>SUMIFS(Facturation!$C$4:$C$21,Facturation!$A$4:$A$21,A6)</f>
        <v/>
      </c>
      <c r="E6" s="17">
        <f>SUM($C$4:C6)</f>
        <v/>
      </c>
      <c r="F6" s="17">
        <f>SUM($D$4:D6)</f>
        <v/>
      </c>
      <c r="G6" s="17">
        <f>SUMIFS(Facturation!$G$4:$G$21,Facturation!$H$4:$H$21,"Oui",Facturation!$I$4:$I$21,"&gt;="&amp;A6,Facturation!$I$4:$I$21,"&lt;"&amp;EDATE(A6,1))</f>
        <v/>
      </c>
      <c r="H6" s="39" t="n">
        <v>4</v>
      </c>
    </row>
    <row r="7">
      <c r="A7" s="10" t="n">
        <v>46113</v>
      </c>
      <c r="B7" s="9" t="n">
        <v>4</v>
      </c>
      <c r="C7" s="19">
        <f>(Parametres!$B$8*H7)/100</f>
        <v/>
      </c>
      <c r="D7" s="19">
        <f>SUMIFS(Facturation!$C$4:$C$21,Facturation!$A$4:$A$21,A7)</f>
        <v/>
      </c>
      <c r="E7" s="19">
        <f>SUM($C$4:C7)</f>
        <v/>
      </c>
      <c r="F7" s="19">
        <f>SUM($D$4:D7)</f>
        <v/>
      </c>
      <c r="G7" s="19">
        <f>SUMIFS(Facturation!$G$4:$G$21,Facturation!$H$4:$H$21,"Oui",Facturation!$I$4:$I$21,"&gt;="&amp;A7,Facturation!$I$4:$I$21,"&lt;"&amp;EDATE(A7,1))</f>
        <v/>
      </c>
      <c r="H7" s="39" t="n">
        <v>6</v>
      </c>
    </row>
    <row r="8">
      <c r="A8" s="10" t="n">
        <v>46143</v>
      </c>
      <c r="B8" s="9" t="n">
        <v>5</v>
      </c>
      <c r="C8" s="17">
        <f>(Parametres!$B$8*H8)/100</f>
        <v/>
      </c>
      <c r="D8" s="17">
        <f>SUMIFS(Facturation!$C$4:$C$21,Facturation!$A$4:$A$21,A8)</f>
        <v/>
      </c>
      <c r="E8" s="17">
        <f>SUM($C$4:C8)</f>
        <v/>
      </c>
      <c r="F8" s="17">
        <f>SUM($D$4:D8)</f>
        <v/>
      </c>
      <c r="G8" s="17">
        <f>SUMIFS(Facturation!$G$4:$G$21,Facturation!$H$4:$H$21,"Oui",Facturation!$I$4:$I$21,"&gt;="&amp;A8,Facturation!$I$4:$I$21,"&lt;"&amp;EDATE(A8,1))</f>
        <v/>
      </c>
      <c r="H8" s="39" t="n">
        <v>8</v>
      </c>
    </row>
    <row r="9">
      <c r="A9" s="10" t="n">
        <v>46174</v>
      </c>
      <c r="B9" s="9" t="n">
        <v>6</v>
      </c>
      <c r="C9" s="19">
        <f>(Parametres!$B$8*H9)/100</f>
        <v/>
      </c>
      <c r="D9" s="19">
        <f>SUMIFS(Facturation!$C$4:$C$21,Facturation!$A$4:$A$21,A9)</f>
        <v/>
      </c>
      <c r="E9" s="19">
        <f>SUM($C$4:C9)</f>
        <v/>
      </c>
      <c r="F9" s="19">
        <f>SUM($D$4:D9)</f>
        <v/>
      </c>
      <c r="G9" s="19">
        <f>SUMIFS(Facturation!$G$4:$G$21,Facturation!$H$4:$H$21,"Oui",Facturation!$I$4:$I$21,"&gt;="&amp;A9,Facturation!$I$4:$I$21,"&lt;"&amp;EDATE(A9,1))</f>
        <v/>
      </c>
      <c r="H9" s="39" t="n">
        <v>9</v>
      </c>
    </row>
    <row r="10">
      <c r="A10" s="10" t="n">
        <v>46204</v>
      </c>
      <c r="B10" s="9" t="n">
        <v>7</v>
      </c>
      <c r="C10" s="17">
        <f>(Parametres!$B$8*H10)/100</f>
        <v/>
      </c>
      <c r="D10" s="17">
        <f>SUMIFS(Facturation!$C$4:$C$21,Facturation!$A$4:$A$21,A10)</f>
        <v/>
      </c>
      <c r="E10" s="17">
        <f>SUM($C$4:C10)</f>
        <v/>
      </c>
      <c r="F10" s="17">
        <f>SUM($D$4:D10)</f>
        <v/>
      </c>
      <c r="G10" s="17">
        <f>SUMIFS(Facturation!$G$4:$G$21,Facturation!$H$4:$H$21,"Oui",Facturation!$I$4:$I$21,"&gt;="&amp;A10,Facturation!$I$4:$I$21,"&lt;"&amp;EDATE(A10,1))</f>
        <v/>
      </c>
      <c r="H10" s="39" t="n">
        <v>9</v>
      </c>
    </row>
    <row r="11">
      <c r="A11" s="10" t="n">
        <v>46235</v>
      </c>
      <c r="B11" s="9" t="n">
        <v>8</v>
      </c>
      <c r="C11" s="19">
        <f>(Parametres!$B$8*H11)/100</f>
        <v/>
      </c>
      <c r="D11" s="19">
        <f>SUMIFS(Facturation!$C$4:$C$21,Facturation!$A$4:$A$21,A11)</f>
        <v/>
      </c>
      <c r="E11" s="19">
        <f>SUM($C$4:C11)</f>
        <v/>
      </c>
      <c r="F11" s="19">
        <f>SUM($D$4:D11)</f>
        <v/>
      </c>
      <c r="G11" s="19">
        <f>SUMIFS(Facturation!$G$4:$G$21,Facturation!$H$4:$H$21,"Oui",Facturation!$I$4:$I$21,"&gt;="&amp;A11,Facturation!$I$4:$I$21,"&lt;"&amp;EDATE(A11,1))</f>
        <v/>
      </c>
      <c r="H11" s="39" t="n">
        <v>8</v>
      </c>
    </row>
    <row r="12">
      <c r="A12" s="10" t="n">
        <v>46266</v>
      </c>
      <c r="B12" s="9" t="n">
        <v>9</v>
      </c>
      <c r="C12" s="17">
        <f>(Parametres!$B$8*H12)/100</f>
        <v/>
      </c>
      <c r="D12" s="17">
        <f>SUMIFS(Facturation!$C$4:$C$21,Facturation!$A$4:$A$21,A12)</f>
        <v/>
      </c>
      <c r="E12" s="17">
        <f>SUM($C$4:C12)</f>
        <v/>
      </c>
      <c r="F12" s="17">
        <f>SUM($D$4:D12)</f>
        <v/>
      </c>
      <c r="G12" s="17">
        <f>SUMIFS(Facturation!$G$4:$G$21,Facturation!$H$4:$H$21,"Oui",Facturation!$I$4:$I$21,"&gt;="&amp;A12,Facturation!$I$4:$I$21,"&lt;"&amp;EDATE(A12,1))</f>
        <v/>
      </c>
      <c r="H12" s="39" t="n">
        <v>8</v>
      </c>
    </row>
    <row r="13">
      <c r="A13" s="10" t="n">
        <v>46296</v>
      </c>
      <c r="B13" s="9" t="n">
        <v>10</v>
      </c>
      <c r="C13" s="19">
        <f>(Parametres!$B$8*H13)/100</f>
        <v/>
      </c>
      <c r="D13" s="19">
        <f>SUMIFS(Facturation!$C$4:$C$21,Facturation!$A$4:$A$21,A13)</f>
        <v/>
      </c>
      <c r="E13" s="19">
        <f>SUM($C$4:C13)</f>
        <v/>
      </c>
      <c r="F13" s="19">
        <f>SUM($D$4:D13)</f>
        <v/>
      </c>
      <c r="G13" s="19">
        <f>SUMIFS(Facturation!$G$4:$G$21,Facturation!$H$4:$H$21,"Oui",Facturation!$I$4:$I$21,"&gt;="&amp;A13,Facturation!$I$4:$I$21,"&lt;"&amp;EDATE(A13,1))</f>
        <v/>
      </c>
      <c r="H13" s="39" t="n">
        <v>7</v>
      </c>
    </row>
    <row r="14">
      <c r="A14" s="10" t="n">
        <v>46327</v>
      </c>
      <c r="B14" s="9" t="n">
        <v>11</v>
      </c>
      <c r="C14" s="17">
        <f>(Parametres!$B$8*H14)/100</f>
        <v/>
      </c>
      <c r="D14" s="17">
        <f>SUMIFS(Facturation!$C$4:$C$21,Facturation!$A$4:$A$21,A14)</f>
        <v/>
      </c>
      <c r="E14" s="17">
        <f>SUM($C$4:C14)</f>
        <v/>
      </c>
      <c r="F14" s="17">
        <f>SUM($D$4:D14)</f>
        <v/>
      </c>
      <c r="G14" s="17">
        <f>SUMIFS(Facturation!$G$4:$G$21,Facturation!$H$4:$H$21,"Oui",Facturation!$I$4:$I$21,"&gt;="&amp;A14,Facturation!$I$4:$I$21,"&lt;"&amp;EDATE(A14,1))</f>
        <v/>
      </c>
      <c r="H14" s="39" t="n">
        <v>6</v>
      </c>
    </row>
    <row r="15">
      <c r="A15" s="10" t="n">
        <v>46357</v>
      </c>
      <c r="B15" s="9" t="n">
        <v>12</v>
      </c>
      <c r="C15" s="19">
        <f>(Parametres!$B$8*H15)/100</f>
        <v/>
      </c>
      <c r="D15" s="19">
        <f>SUMIFS(Facturation!$C$4:$C$21,Facturation!$A$4:$A$21,A15)</f>
        <v/>
      </c>
      <c r="E15" s="19">
        <f>SUM($C$4:C15)</f>
        <v/>
      </c>
      <c r="F15" s="19">
        <f>SUM($D$4:D15)</f>
        <v/>
      </c>
      <c r="G15" s="19">
        <f>SUMIFS(Facturation!$G$4:$G$21,Facturation!$H$4:$H$21,"Oui",Facturation!$I$4:$I$21,"&gt;="&amp;A15,Facturation!$I$4:$I$21,"&lt;"&amp;EDATE(A15,1))</f>
        <v/>
      </c>
      <c r="H15" s="39" t="n">
        <v>6</v>
      </c>
    </row>
    <row r="16">
      <c r="A16" s="10" t="n">
        <v>46388</v>
      </c>
      <c r="B16" s="9" t="n">
        <v>13</v>
      </c>
      <c r="C16" s="17">
        <f>(Parametres!$B$8*H16)/100</f>
        <v/>
      </c>
      <c r="D16" s="17">
        <f>SUMIFS(Facturation!$C$4:$C$21,Facturation!$A$4:$A$21,A16)</f>
        <v/>
      </c>
      <c r="E16" s="17">
        <f>SUM($C$4:C16)</f>
        <v/>
      </c>
      <c r="F16" s="17">
        <f>SUM($D$4:D16)</f>
        <v/>
      </c>
      <c r="G16" s="17">
        <f>SUMIFS(Facturation!$G$4:$G$21,Facturation!$H$4:$H$21,"Oui",Facturation!$I$4:$I$21,"&gt;="&amp;A16,Facturation!$I$4:$I$21,"&lt;"&amp;EDATE(A16,1))</f>
        <v/>
      </c>
      <c r="H16" s="39" t="n">
        <v>6</v>
      </c>
    </row>
    <row r="17">
      <c r="A17" s="10" t="n">
        <v>46419</v>
      </c>
      <c r="B17" s="9" t="n">
        <v>14</v>
      </c>
      <c r="C17" s="19">
        <f>(Parametres!$B$8*H17)/100</f>
        <v/>
      </c>
      <c r="D17" s="19">
        <f>SUMIFS(Facturation!$C$4:$C$21,Facturation!$A$4:$A$21,A17)</f>
        <v/>
      </c>
      <c r="E17" s="19">
        <f>SUM($C$4:C17)</f>
        <v/>
      </c>
      <c r="F17" s="19">
        <f>SUM($D$4:D17)</f>
        <v/>
      </c>
      <c r="G17" s="19">
        <f>SUMIFS(Facturation!$G$4:$G$21,Facturation!$H$4:$H$21,"Oui",Facturation!$I$4:$I$21,"&gt;="&amp;A17,Facturation!$I$4:$I$21,"&lt;"&amp;EDATE(A17,1))</f>
        <v/>
      </c>
      <c r="H17" s="39" t="n">
        <v>5</v>
      </c>
    </row>
    <row r="18">
      <c r="A18" s="10" t="n">
        <v>46447</v>
      </c>
      <c r="B18" s="9" t="n">
        <v>15</v>
      </c>
      <c r="C18" s="17">
        <f>(Parametres!$B$8*H18)/100</f>
        <v/>
      </c>
      <c r="D18" s="17">
        <f>SUMIFS(Facturation!$C$4:$C$21,Facturation!$A$4:$A$21,A18)</f>
        <v/>
      </c>
      <c r="E18" s="17">
        <f>SUM($C$4:C18)</f>
        <v/>
      </c>
      <c r="F18" s="17">
        <f>SUM($D$4:D18)</f>
        <v/>
      </c>
      <c r="G18" s="17">
        <f>SUMIFS(Facturation!$G$4:$G$21,Facturation!$H$4:$H$21,"Oui",Facturation!$I$4:$I$21,"&gt;="&amp;A18,Facturation!$I$4:$I$21,"&lt;"&amp;EDATE(A18,1))</f>
        <v/>
      </c>
      <c r="H18" s="39" t="n">
        <v>4</v>
      </c>
    </row>
    <row r="19">
      <c r="A19" s="10" t="n">
        <v>46478</v>
      </c>
      <c r="B19" s="9" t="n">
        <v>16</v>
      </c>
      <c r="C19" s="19">
        <f>(Parametres!$B$8*H19)/100</f>
        <v/>
      </c>
      <c r="D19" s="19">
        <f>SUMIFS(Facturation!$C$4:$C$21,Facturation!$A$4:$A$21,A19)</f>
        <v/>
      </c>
      <c r="E19" s="19">
        <f>SUM($C$4:C19)</f>
        <v/>
      </c>
      <c r="F19" s="19">
        <f>SUM($D$4:D19)</f>
        <v/>
      </c>
      <c r="G19" s="19">
        <f>SUMIFS(Facturation!$G$4:$G$21,Facturation!$H$4:$H$21,"Oui",Facturation!$I$4:$I$21,"&gt;="&amp;A19,Facturation!$I$4:$I$21,"&lt;"&amp;EDATE(A19,1))</f>
        <v/>
      </c>
      <c r="H19" s="39" t="n">
        <v>4</v>
      </c>
    </row>
    <row r="20">
      <c r="A20" s="10" t="n">
        <v>46508</v>
      </c>
      <c r="B20" s="9" t="n">
        <v>17</v>
      </c>
      <c r="C20" s="17">
        <f>(Parametres!$B$8*H20)/100</f>
        <v/>
      </c>
      <c r="D20" s="17">
        <f>SUMIFS(Facturation!$C$4:$C$21,Facturation!$A$4:$A$21,A20)</f>
        <v/>
      </c>
      <c r="E20" s="17">
        <f>SUM($C$4:C20)</f>
        <v/>
      </c>
      <c r="F20" s="17">
        <f>SUM($D$4:D20)</f>
        <v/>
      </c>
      <c r="G20" s="17">
        <f>SUMIFS(Facturation!$G$4:$G$21,Facturation!$H$4:$H$21,"Oui",Facturation!$I$4:$I$21,"&gt;="&amp;A20,Facturation!$I$4:$I$21,"&lt;"&amp;EDATE(A20,1))</f>
        <v/>
      </c>
      <c r="H20" s="39" t="n">
        <v>4</v>
      </c>
    </row>
    <row r="21">
      <c r="A21" s="10" t="n">
        <v>46539</v>
      </c>
      <c r="B21" s="9" t="n">
        <v>18</v>
      </c>
      <c r="C21" s="19">
        <f>(Parametres!$B$8*H21)/100</f>
        <v/>
      </c>
      <c r="D21" s="19">
        <f>SUMIFS(Facturation!$C$4:$C$21,Facturation!$A$4:$A$21,A21)</f>
        <v/>
      </c>
      <c r="E21" s="19">
        <f>SUM($C$4:C21)</f>
        <v/>
      </c>
      <c r="F21" s="19">
        <f>SUM($D$4:D21)</f>
        <v/>
      </c>
      <c r="G21" s="19">
        <f>SUMIFS(Facturation!$G$4:$G$21,Facturation!$H$4:$H$21,"Oui",Facturation!$I$4:$I$21,"&gt;="&amp;A21,Facturation!$I$4:$I$21,"&lt;"&amp;EDATE(A21,1))</f>
        <v/>
      </c>
      <c r="H21" s="39" t="n">
        <v>3</v>
      </c>
    </row>
  </sheetData>
  <mergeCells count="1">
    <mergeCell ref="A1:H1"/>
  </mergeCells>
  <pageMargins left="0.75" right="0.75" top="1" bottom="1"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tabColor rgb="00C55A11"/>
    <outlinePr summaryBelow="1" summaryRight="1"/>
    <pageSetUpPr fitToPage="1"/>
  </sheetPr>
  <dimension ref="A1:H34"/>
  <sheetViews>
    <sheetView showGridLines="0" workbookViewId="0">
      <selection activeCell="A1" sqref="A1"/>
    </sheetView>
  </sheetViews>
  <sheetFormatPr baseColWidth="8" defaultRowHeight="15"/>
  <cols>
    <col width="22" customWidth="1" min="1" max="1"/>
    <col width="14" customWidth="1" min="2" max="2"/>
    <col width="38" customWidth="1" min="3" max="3"/>
    <col width="14" customWidth="1" min="4" max="4"/>
    <col width="16" customWidth="1" min="5" max="5"/>
    <col width="14" customWidth="1" min="6" max="6"/>
    <col width="14" customWidth="1" min="7" max="7"/>
    <col width="14" customWidth="1" min="8" max="8"/>
  </cols>
  <sheetData>
    <row r="1" ht="30" customHeight="1">
      <c r="A1" s="1" t="inlineStr">
        <is>
          <t>DASHBOARD, SYNTHÈSE DU CHANTIER</t>
        </is>
      </c>
      <c r="B1" s="2" t="n"/>
      <c r="C1" s="2" t="n"/>
      <c r="D1" s="2" t="n"/>
      <c r="E1" s="2" t="n"/>
      <c r="F1" s="2" t="n"/>
      <c r="G1" s="2" t="n"/>
      <c r="H1" s="2" t="n"/>
    </row>
    <row r="3" ht="16" customHeight="1">
      <c r="A3" s="40" t="inlineStr">
        <is>
          <t>PRIX DE VENTE CORRIGÉ (CHF)</t>
        </is>
      </c>
      <c r="B3" s="41" t="n"/>
      <c r="C3" s="41" t="n"/>
      <c r="D3" s="41" t="n"/>
      <c r="E3" s="41" t="n"/>
      <c r="F3" s="41" t="n"/>
      <c r="G3" s="41" t="n"/>
      <c r="H3" s="41" t="n"/>
    </row>
    <row r="4" ht="30" customHeight="1">
      <c r="A4" s="42">
        <f>'Prevision'!J27</f>
        <v/>
      </c>
      <c r="B4" s="43" t="n"/>
      <c r="C4" s="43" t="n"/>
      <c r="D4" s="43" t="n"/>
      <c r="E4" s="43" t="n"/>
      <c r="F4" s="43" t="n"/>
      <c r="G4" s="43" t="n"/>
      <c r="H4" s="43" t="n"/>
    </row>
    <row r="5" ht="16" customHeight="1">
      <c r="A5" s="40" t="inlineStr">
        <is>
          <t>PFC TOTALE, PRÉVISION FIN DE CHANTIER (CHF)</t>
        </is>
      </c>
      <c r="B5" s="41" t="n"/>
      <c r="C5" s="41" t="n"/>
      <c r="D5" s="41" t="n"/>
      <c r="E5" s="41" t="n"/>
      <c r="F5" s="41" t="n"/>
      <c r="G5" s="41" t="n"/>
      <c r="H5" s="41" t="n"/>
    </row>
    <row r="6" ht="30" customHeight="1">
      <c r="A6" s="42">
        <f>'Prevision'!G27</f>
        <v/>
      </c>
      <c r="B6" s="43" t="n"/>
      <c r="C6" s="43" t="n"/>
      <c r="D6" s="43" t="n"/>
      <c r="E6" s="43" t="n"/>
      <c r="F6" s="43" t="n"/>
      <c r="G6" s="43" t="n"/>
      <c r="H6" s="43" t="n"/>
    </row>
    <row r="7" ht="16" customHeight="1">
      <c r="A7" s="40" t="inlineStr">
        <is>
          <t>MARGE PRÉVISIONNELLE (CHF)</t>
        </is>
      </c>
      <c r="B7" s="41" t="n"/>
      <c r="C7" s="41" t="n"/>
      <c r="D7" s="41" t="n"/>
      <c r="E7" s="41" t="n"/>
      <c r="F7" s="41" t="n"/>
      <c r="G7" s="41" t="n"/>
      <c r="H7" s="41" t="n"/>
    </row>
    <row r="8" ht="30" customHeight="1">
      <c r="A8" s="42">
        <f>'Prevision'!K27</f>
        <v/>
      </c>
      <c r="B8" s="43" t="n"/>
      <c r="C8" s="43" t="n"/>
      <c r="D8" s="43" t="n"/>
      <c r="E8" s="43" t="n"/>
      <c r="F8" s="43" t="n"/>
      <c r="G8" s="43" t="n"/>
      <c r="H8" s="43" t="n"/>
    </row>
    <row r="9" ht="16" customHeight="1">
      <c r="A9" s="40" t="inlineStr">
        <is>
          <t>MARGE PRÉVISIONNELLE (%)</t>
        </is>
      </c>
      <c r="B9" s="41" t="n"/>
      <c r="C9" s="41" t="n"/>
      <c r="D9" s="41" t="n"/>
      <c r="E9" s="41" t="n"/>
      <c r="F9" s="41" t="n"/>
      <c r="G9" s="41" t="n"/>
      <c r="H9" s="41" t="n"/>
    </row>
    <row r="10" ht="30" customHeight="1">
      <c r="A10" s="44">
        <f>'Prevision'!L27</f>
        <v/>
      </c>
      <c r="B10" s="43" t="n"/>
      <c r="C10" s="43" t="n"/>
      <c r="D10" s="43" t="n"/>
      <c r="E10" s="43" t="n"/>
      <c r="F10" s="43" t="n"/>
      <c r="G10" s="43" t="n"/>
      <c r="H10" s="43" t="n"/>
    </row>
    <row r="11" ht="16" customHeight="1">
      <c r="A11" s="40" t="inlineStr">
        <is>
          <t>DÉRIVE DE MARGE VS MARGE INITIALE (POINTS)</t>
        </is>
      </c>
      <c r="B11" s="41" t="n"/>
      <c r="C11" s="41" t="n"/>
      <c r="D11" s="41" t="n"/>
      <c r="E11" s="41" t="n"/>
      <c r="F11" s="41" t="n"/>
      <c r="G11" s="41" t="n"/>
      <c r="H11" s="41" t="n"/>
    </row>
    <row r="12" ht="30" customHeight="1">
      <c r="A12" s="45">
        <f>'Prevision'!O27</f>
        <v/>
      </c>
      <c r="B12" s="43" t="n"/>
      <c r="C12" s="43" t="n"/>
      <c r="D12" s="43" t="n"/>
      <c r="E12" s="43" t="n"/>
      <c r="F12" s="43" t="n"/>
      <c r="G12" s="43" t="n"/>
      <c r="H12" s="43" t="n"/>
    </row>
    <row r="13" ht="16" customHeight="1">
      <c r="A13" s="40" t="inlineStr">
        <is>
          <t>% ENGAGÉ (ENGAGÉ TOTAL / BUDGET CORRIGÉ)</t>
        </is>
      </c>
      <c r="B13" s="41" t="n"/>
      <c r="C13" s="41" t="n"/>
      <c r="D13" s="41" t="n"/>
      <c r="E13" s="41" t="n"/>
      <c r="F13" s="41" t="n"/>
      <c r="G13" s="41" t="n"/>
      <c r="H13" s="41" t="n"/>
    </row>
    <row r="14" ht="30" customHeight="1">
      <c r="A14" s="44">
        <f>'Engagements'!D28/'Budget'!J$26</f>
        <v/>
      </c>
      <c r="B14" s="43" t="n"/>
      <c r="C14" s="43" t="n"/>
      <c r="D14" s="43" t="n"/>
      <c r="E14" s="43" t="n"/>
      <c r="F14" s="43" t="n"/>
      <c r="G14" s="43" t="n"/>
      <c r="H14" s="43" t="n"/>
    </row>
    <row r="15" ht="16" customHeight="1">
      <c r="A15" s="40" t="inlineStr">
        <is>
          <t>% FACTURÉ (FACTURÉ CUMULÉ / VENTE CORRIGÉE)</t>
        </is>
      </c>
      <c r="B15" s="41" t="n"/>
      <c r="C15" s="41" t="n"/>
      <c r="D15" s="41" t="n"/>
      <c r="E15" s="41" t="n"/>
      <c r="F15" s="41" t="n"/>
      <c r="G15" s="41" t="n"/>
      <c r="H15" s="41" t="n"/>
    </row>
    <row r="16" ht="30" customHeight="1">
      <c r="A16" s="44">
        <f>'Facturation'!J12/'Prevision'!J27</f>
        <v/>
      </c>
      <c r="B16" s="43" t="n"/>
      <c r="C16" s="43" t="n"/>
      <c r="D16" s="43" t="n"/>
      <c r="E16" s="43" t="n"/>
      <c r="F16" s="43" t="n"/>
      <c r="G16" s="43" t="n"/>
      <c r="H16" s="43" t="n"/>
    </row>
    <row r="17" ht="16" customHeight="1">
      <c r="A17" s="40" t="inlineStr">
        <is>
          <t>AVANCEMENT TEMPS (MOIS ÉCOULÉS / DURÉE TOTALE)</t>
        </is>
      </c>
      <c r="B17" s="41" t="n"/>
      <c r="C17" s="41" t="n"/>
      <c r="D17" s="41" t="n"/>
      <c r="E17" s="41" t="n"/>
      <c r="F17" s="41" t="n"/>
      <c r="G17" s="41" t="n"/>
      <c r="H17" s="41" t="n"/>
    </row>
    <row r="18" ht="30" customHeight="1">
      <c r="A18" s="44">
        <f>(DATEDIF(Parametres!$B$19,Parametres!$B$7,"m")+1)/Parametres!$B$10</f>
        <v/>
      </c>
      <c r="B18" s="43" t="n"/>
      <c r="C18" s="43" t="n"/>
      <c r="D18" s="43" t="n"/>
      <c r="E18" s="43" t="n"/>
      <c r="F18" s="43" t="n"/>
      <c r="G18" s="43" t="n"/>
      <c r="H18" s="43" t="n"/>
    </row>
    <row r="19" ht="16" customHeight="1">
      <c r="A19" s="40" t="inlineStr">
        <is>
          <t>MARGE VISÉE (PARAMÈTRES, %)</t>
        </is>
      </c>
      <c r="B19" s="41" t="n"/>
      <c r="C19" s="41" t="n"/>
      <c r="D19" s="41" t="n"/>
      <c r="E19" s="41" t="n"/>
      <c r="F19" s="41" t="n"/>
      <c r="G19" s="41" t="n"/>
      <c r="H19" s="41" t="n"/>
    </row>
    <row r="20" ht="30" customHeight="1">
      <c r="A20" s="44">
        <f>Parametres!$B$9</f>
        <v/>
      </c>
      <c r="B20" s="43" t="n"/>
      <c r="C20" s="43" t="n"/>
      <c r="D20" s="43" t="n"/>
      <c r="E20" s="43" t="n"/>
      <c r="F20" s="43" t="n"/>
      <c r="G20" s="43" t="n"/>
      <c r="H20" s="43" t="n"/>
    </row>
    <row r="22" ht="22" customHeight="1">
      <c r="D22" s="46" t="inlineStr">
        <is>
          <t>Statut global marge</t>
        </is>
      </c>
      <c r="E22" s="47">
        <f>IF(A8&lt;0,"ROUGE",IF(A12&lt;-1,"ORANGE","VERT"))</f>
        <v/>
      </c>
    </row>
    <row r="24" ht="20" customHeight="1">
      <c r="A24" s="25" t="inlineStr">
        <is>
          <t>Légende, règles des feux tricolores</t>
        </is>
      </c>
      <c r="B24" s="2" t="n"/>
      <c r="C24" s="2" t="n"/>
      <c r="D24" s="2" t="n"/>
      <c r="E24" s="2" t="n"/>
      <c r="F24" s="2" t="n"/>
      <c r="G24" s="2" t="n"/>
      <c r="H24" s="2" t="n"/>
    </row>
    <row r="25" ht="26" customHeight="1">
      <c r="A25" s="48" t="inlineStr">
        <is>
          <t>ROUGE</t>
        </is>
      </c>
      <c r="B25" s="49" t="inlineStr">
        <is>
          <t>Marge prévisionnelle totale négative : le chantier finirait à perte.</t>
        </is>
      </c>
    </row>
    <row r="26" ht="26" customHeight="1">
      <c r="A26" s="50" t="inlineStr">
        <is>
          <t>ORANGE</t>
        </is>
      </c>
      <c r="B26" s="49" t="inlineStr">
        <is>
          <t>Dérive de marge inférieure à -1 point par rapport à la marge initiale (dégradation signée, pas une simple valeur absolue).</t>
        </is>
      </c>
    </row>
    <row r="27" ht="26" customHeight="1">
      <c r="A27" s="51" t="inlineStr">
        <is>
          <t>VERT</t>
        </is>
      </c>
      <c r="B27" s="49" t="inlineStr">
        <is>
          <t>Aucune des deux conditions ci-dessus : situation sous contrôle.</t>
        </is>
      </c>
    </row>
    <row r="28" ht="32" customHeight="1">
      <c r="A28" s="52" t="inlineStr">
        <is>
          <t>Top 5 des écarts PFC vs budget (par position CFC, des économies peuvent apparaître)</t>
        </is>
      </c>
      <c r="B28" s="2" t="n"/>
      <c r="C28" s="2" t="n"/>
      <c r="D28" s="2" t="n"/>
    </row>
    <row r="29" ht="26" customHeight="1">
      <c r="A29" s="8" t="inlineStr">
        <is>
          <t>Rang</t>
        </is>
      </c>
      <c r="B29" s="8" t="inlineStr">
        <is>
          <t>CFC</t>
        </is>
      </c>
      <c r="C29" s="8" t="inlineStr">
        <is>
          <t>Libellé</t>
        </is>
      </c>
      <c r="D29" s="8" t="inlineStr">
        <is>
          <t>Écart (CHF)</t>
        </is>
      </c>
    </row>
    <row r="30">
      <c r="A30" s="53" t="n">
        <v>1</v>
      </c>
      <c r="B30" s="54">
        <f>INDEX('Prevision'!$A$4:$A$26,MATCH(H30,'Prevision'!$P$4:$P$26,0))</f>
        <v/>
      </c>
      <c r="C30" s="54">
        <f>INDEX('Prevision'!$B$4:$B$26,MATCH(H30,'Prevision'!$P$4:$P$26,0))</f>
        <v/>
      </c>
      <c r="D30" s="55">
        <f>INDEX('Prevision'!$H$4:$H$26,MATCH(H30,'Prevision'!$P$4:$P$26,0))</f>
        <v/>
      </c>
      <c r="H30" s="56">
        <f>LARGE('Prevision'!$P$4:$P$26,1)</f>
        <v/>
      </c>
    </row>
    <row r="31">
      <c r="A31" s="57" t="n">
        <v>2</v>
      </c>
      <c r="B31" s="28">
        <f>INDEX('Prevision'!$A$4:$A$26,MATCH(H31,'Prevision'!$P$4:$P$26,0))</f>
        <v/>
      </c>
      <c r="C31" s="28">
        <f>INDEX('Prevision'!$B$4:$B$26,MATCH(H31,'Prevision'!$P$4:$P$26,0))</f>
        <v/>
      </c>
      <c r="D31" s="19">
        <f>INDEX('Prevision'!$H$4:$H$26,MATCH(H31,'Prevision'!$P$4:$P$26,0))</f>
        <v/>
      </c>
      <c r="H31" s="56">
        <f>LARGE('Prevision'!$P$4:$P$26,2)</f>
        <v/>
      </c>
    </row>
    <row r="32">
      <c r="A32" s="53" t="n">
        <v>3</v>
      </c>
      <c r="B32" s="54">
        <f>INDEX('Prevision'!$A$4:$A$26,MATCH(H32,'Prevision'!$P$4:$P$26,0))</f>
        <v/>
      </c>
      <c r="C32" s="54">
        <f>INDEX('Prevision'!$B$4:$B$26,MATCH(H32,'Prevision'!$P$4:$P$26,0))</f>
        <v/>
      </c>
      <c r="D32" s="55">
        <f>INDEX('Prevision'!$H$4:$H$26,MATCH(H32,'Prevision'!$P$4:$P$26,0))</f>
        <v/>
      </c>
      <c r="H32" s="56">
        <f>LARGE('Prevision'!$P$4:$P$26,3)</f>
        <v/>
      </c>
    </row>
    <row r="33">
      <c r="A33" s="57" t="n">
        <v>4</v>
      </c>
      <c r="B33" s="28">
        <f>INDEX('Prevision'!$A$4:$A$26,MATCH(H33,'Prevision'!$P$4:$P$26,0))</f>
        <v/>
      </c>
      <c r="C33" s="28">
        <f>INDEX('Prevision'!$B$4:$B$26,MATCH(H33,'Prevision'!$P$4:$P$26,0))</f>
        <v/>
      </c>
      <c r="D33" s="19">
        <f>INDEX('Prevision'!$H$4:$H$26,MATCH(H33,'Prevision'!$P$4:$P$26,0))</f>
        <v/>
      </c>
      <c r="H33" s="56">
        <f>LARGE('Prevision'!$P$4:$P$26,4)</f>
        <v/>
      </c>
    </row>
    <row r="34">
      <c r="A34" s="53" t="n">
        <v>5</v>
      </c>
      <c r="B34" s="54">
        <f>INDEX('Prevision'!$A$4:$A$26,MATCH(H34,'Prevision'!$P$4:$P$26,0))</f>
        <v/>
      </c>
      <c r="C34" s="54">
        <f>INDEX('Prevision'!$B$4:$B$26,MATCH(H34,'Prevision'!$P$4:$P$26,0))</f>
        <v/>
      </c>
      <c r="D34" s="55">
        <f>INDEX('Prevision'!$H$4:$H$26,MATCH(H34,'Prevision'!$P$4:$P$26,0))</f>
        <v/>
      </c>
      <c r="H34" s="56">
        <f>LARGE('Prevision'!$P$4:$P$26,5)</f>
        <v/>
      </c>
    </row>
  </sheetData>
  <mergeCells count="25">
    <mergeCell ref="A9:H9"/>
    <mergeCell ref="A15:H15"/>
    <mergeCell ref="A24:H24"/>
    <mergeCell ref="A11:H11"/>
    <mergeCell ref="A1:H1"/>
    <mergeCell ref="A28:D28"/>
    <mergeCell ref="A6:H6"/>
    <mergeCell ref="E22:H22"/>
    <mergeCell ref="B26:H26"/>
    <mergeCell ref="A7:H7"/>
    <mergeCell ref="A16:H16"/>
    <mergeCell ref="B25:H25"/>
    <mergeCell ref="A12:H12"/>
    <mergeCell ref="A18:H18"/>
    <mergeCell ref="A3:H3"/>
    <mergeCell ref="B27:H27"/>
    <mergeCell ref="A14:H14"/>
    <mergeCell ref="A5:H5"/>
    <mergeCell ref="A8:H8"/>
    <mergeCell ref="A17:H17"/>
    <mergeCell ref="A4:H4"/>
    <mergeCell ref="A20:H20"/>
    <mergeCell ref="A10:H10"/>
    <mergeCell ref="A13:H13"/>
    <mergeCell ref="A19:H19"/>
  </mergeCells>
  <conditionalFormatting sqref="E22">
    <cfRule type="cellIs" priority="1" operator="equal" dxfId="2">
      <formula>"ROUGE"</formula>
    </cfRule>
    <cfRule type="cellIs" priority="2" operator="equal" dxfId="3">
      <formula>"ORANGE"</formula>
    </cfRule>
    <cfRule type="cellIs" priority="3" operator="equal" dxfId="1">
      <formula>"VERT"</formula>
    </cfRule>
  </conditionalFormatting>
  <conditionalFormatting sqref="D30:D34">
    <cfRule type="cellIs" priority="4" operator="greaterThan" dxfId="2">
      <formula>0</formula>
    </cfRule>
    <cfRule type="cellIs" priority="5" operator="lessThanOrEqual" dxfId="4">
      <formula>0</formula>
    </cfRule>
  </conditionalFormatting>
  <pageMargins left="0.75" right="0.75" top="1" bottom="1" header="0.5" footer="0.5"/>
  <pageSetup orientation="landscape" paperSize="9" fitToHeight="0" fitToWidth="1"/>
  <drawing xmlns:r="http://schemas.openxmlformats.org/officeDocument/2006/relationships" r:id="rId1"/>
</worksheet>
</file>

<file path=xl/worksheets/sheet10.xml><?xml version="1.0" encoding="utf-8"?>
<worksheet xmlns="http://schemas.openxmlformats.org/spreadsheetml/2006/main">
  <sheetPr>
    <tabColor rgb="00C55A11"/>
    <outlinePr summaryBelow="1" summaryRight="1"/>
    <pageSetUpPr fitToPage="1"/>
  </sheetPr>
  <dimension ref="A1:F9"/>
  <sheetViews>
    <sheetView showGridLines="0" workbookViewId="0">
      <selection activeCell="A1" sqref="A1"/>
    </sheetView>
  </sheetViews>
  <sheetFormatPr baseColWidth="8" defaultRowHeight="15"/>
  <cols>
    <col width="5" customWidth="1" min="1" max="1"/>
    <col width="34" customWidth="1" min="2" max="2"/>
    <col width="16" customWidth="1" min="3" max="3"/>
    <col width="16" customWidth="1" min="4" max="4"/>
    <col width="11" customWidth="1" min="5" max="5"/>
    <col width="46" customWidth="1" min="6" max="6"/>
  </cols>
  <sheetData>
    <row r="1" ht="30" customHeight="1">
      <c r="A1" s="1" t="inlineStr">
        <is>
          <t>ANALYSE, CONTRÔLES AUTOMATIQUES</t>
        </is>
      </c>
      <c r="B1" s="2" t="n"/>
      <c r="C1" s="2" t="n"/>
      <c r="D1" s="2" t="n"/>
      <c r="E1" s="2" t="n"/>
      <c r="F1" s="2" t="n"/>
    </row>
    <row r="3" ht="26" customHeight="1">
      <c r="A3" s="8" t="inlineStr">
        <is>
          <t>N°</t>
        </is>
      </c>
      <c r="B3" s="8" t="inlineStr">
        <is>
          <t>Contrôle</t>
        </is>
      </c>
      <c r="C3" s="8" t="inlineStr">
        <is>
          <t>Valeur constatée</t>
        </is>
      </c>
      <c r="D3" s="8" t="inlineStr">
        <is>
          <t>Référence / seuil</t>
        </is>
      </c>
      <c r="E3" s="8" t="inlineStr">
        <is>
          <t>Résultat</t>
        </is>
      </c>
      <c r="F3" s="8" t="inlineStr">
        <is>
          <t>Message</t>
        </is>
      </c>
    </row>
    <row r="4" ht="50" customHeight="1">
      <c r="A4" s="58" t="n">
        <v>1</v>
      </c>
      <c r="B4" s="58" t="inlineStr">
        <is>
          <t>Positions avec engagé supérieur au budget corrigé</t>
        </is>
      </c>
      <c r="C4" s="59">
        <f>SUMPRODUCT((Engagements!$D$5:$D$26&gt;Engagements!$C$5:$C$26)*1)</f>
        <v/>
      </c>
      <c r="D4" s="59">
        <f>0</f>
        <v/>
      </c>
      <c r="E4" s="60">
        <f>IF(C4&gt;D4,"ALERTE","OK")</f>
        <v/>
      </c>
      <c r="F4" s="58">
        <f t="array" ref="F4">"Positions en dépassement : "&amp;_xlfn.TEXTJOIN(", ",TRUE,IF(Engagements!$D$5:$D$26&gt;Engagements!$C$5:$C$26,Engagements!$A$5:$A$26,""))&amp;" (détail dans la feuille Engagements)."</f>
        <v/>
      </c>
    </row>
    <row r="5" ht="50" customHeight="1">
      <c r="A5" s="61" t="n">
        <v>2</v>
      </c>
      <c r="B5" s="61" t="inlineStr">
        <is>
          <t>Facturé cumulé supérieur à l'engagé total (global)</t>
        </is>
      </c>
      <c r="C5" s="19">
        <f>Facturation!$J$22</f>
        <v/>
      </c>
      <c r="D5" s="19">
        <f>Engagements!$D$28</f>
        <v/>
      </c>
      <c r="E5" s="62">
        <f>IF(C5&gt;D5,"ALERTE","OK")</f>
        <v/>
      </c>
      <c r="F5" s="61">
        <f>"Facturé cumulé "&amp;TEXT(C5,"#'##0")&amp;" CHF vs engagé total "&amp;TEXT(D5,"#'##0")&amp;" CHF."</f>
        <v/>
      </c>
    </row>
    <row r="6" ht="50" customHeight="1">
      <c r="A6" s="58" t="n">
        <v>3</v>
      </c>
      <c r="B6" s="58" t="inlineStr">
        <is>
          <t>Position sans budget (hors bordereau) mais avec engagements</t>
        </is>
      </c>
      <c r="C6" s="59">
        <f>SUMPRODUCT((COUNTIF(Budget!$A$4:$A$25,Engagements!$D$32:$D$82)=0)*(Engagements!$F$32:$F$82&gt;0))</f>
        <v/>
      </c>
      <c r="D6" s="59">
        <f>0</f>
        <v/>
      </c>
      <c r="E6" s="60">
        <f>IF(C6&gt;D6,"ALERTE","OK")</f>
        <v/>
      </c>
      <c r="F6" s="58">
        <f t="array" ref="F6">"Lignes du journal Engagements avec un CFC absent du bordereau Budget : "&amp;_xlfn.TEXTJOIN(", ",TRUE,IF(COUNTIF(Budget!$A$4:$A$25,Engagements!$D$32:$D$82)=0,Engagements!$D$32:$D$82,""))&amp;"."</f>
        <v/>
      </c>
    </row>
    <row r="7" ht="50" customHeight="1">
      <c r="A7" s="61" t="n">
        <v>4</v>
      </c>
      <c r="B7" s="61" t="inlineStr">
        <is>
          <t>Suppléments en attente (statut annoncé) supérieurs à 2% de la vente</t>
        </is>
      </c>
      <c r="C7" s="19">
        <f>SUMIFS('Regie-PV-MV'!$F$7:$F$47,'Regie-PV-MV'!$H$7:$H$47,"annoncé")</f>
        <v/>
      </c>
      <c r="D7" s="19">
        <f>0.02*Budget!$C$26</f>
        <v/>
      </c>
      <c r="E7" s="62">
        <f>IF(C7&gt;D7,"ALERTE","OK")</f>
        <v/>
      </c>
      <c r="F7" s="61">
        <f>"Total annoncé vs seuil de 2% de la vente totale (voir feuille Régie-PV-MV)."</f>
        <v/>
      </c>
    </row>
    <row r="8" ht="50" customHeight="1">
      <c r="A8" s="58" t="n">
        <v>5</v>
      </c>
      <c r="B8" s="58" t="inlineStr">
        <is>
          <t>Retenue de garantie réellement appliquée vs plafond contractuel</t>
        </is>
      </c>
      <c r="C8" s="17">
        <f>Facturation!$D$22</f>
        <v/>
      </c>
      <c r="D8" s="17">
        <f>Parametres!$B$8*Parametres!$B$14</f>
        <v/>
      </c>
      <c r="E8" s="60">
        <f>IF(C8&gt;D8,"ALERTE","OK")</f>
        <v/>
      </c>
      <c r="F8" s="58">
        <f>"Retenue réellement appliquée (feuille Facturation, plafonnée) vs plafond contractuel de 2% du prix de vente."</f>
        <v/>
      </c>
    </row>
    <row r="9" ht="50" customHeight="1">
      <c r="A9" s="61" t="n">
        <v>6</v>
      </c>
      <c r="B9" s="61" t="inlineStr">
        <is>
          <t>Marge prévisionnelle globale inférieure à 50% de la marge initiale</t>
        </is>
      </c>
      <c r="C9" s="19">
        <f>Prevision!$K$27</f>
        <v/>
      </c>
      <c r="D9" s="19">
        <f>0.5*Prevision!$M$27</f>
        <v/>
      </c>
      <c r="E9" s="62">
        <f>IF(C9&lt;D9,"ALERTE","OK")</f>
        <v/>
      </c>
      <c r="F9" s="61">
        <f>"Marge prévisionnelle totale vs 50% de la marge initiale totale."</f>
        <v/>
      </c>
    </row>
  </sheetData>
  <mergeCells count="1">
    <mergeCell ref="A1:F1"/>
  </mergeCells>
  <conditionalFormatting sqref="E4:E9">
    <cfRule type="cellIs" priority="1" operator="equal" dxfId="2">
      <formula>"ALERTE"</formula>
    </cfRule>
    <cfRule type="cellIs" priority="2" operator="equal" dxfId="1">
      <formula>"OK"</formula>
    </cfRule>
  </conditionalFormatting>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2026-08-07T12:45:51Z</dcterms:created>
  <dcterms:modified xmlns:dcterms="http://purl.org/dc/terms/" xmlns:xsi="http://www.w3.org/2001/XMLSchema-instance" xsi:type="dcterms:W3CDTF">2026-08-07T12:45:51Z</dcterms:modified>
</cp:coreProperties>
</file>