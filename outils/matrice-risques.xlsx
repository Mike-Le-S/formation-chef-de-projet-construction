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" sheetId="1" state="visible" r:id="rId1"/>
    <sheet xmlns:r="http://schemas.openxmlformats.org/officeDocument/2006/relationships" name="Registre" sheetId="2" state="visible" r:id="rId2"/>
    <sheet xmlns:r="http://schemas.openxmlformats.org/officeDocument/2006/relationships" name="Matrice" sheetId="3" state="visible" r:id="rId3"/>
  </sheets>
  <definedNames>
    <definedName name="_xlnm.Print_Area" localSheetId="0">'Notice'!$A$1:$B$33</definedName>
    <definedName name="_xlnm.Print_Titles" localSheetId="1">'Registre'!$1:$1</definedName>
    <definedName name="_xlnm.Print_Area" localSheetId="1">'Registre'!$A$1:$K$33</definedName>
    <definedName name="_xlnm.Print_Area" localSheetId="2">'Matrice'!$A$1:$G$7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1F4E79"/>
      <sz val="12"/>
    </font>
    <font>
      <b val="1"/>
      <color rgb="00FFFFFF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0B4"/>
        <bgColor rgb="00C6E0B4"/>
      </patternFill>
    </fill>
    <fill>
      <patternFill patternType="solid">
        <fgColor rgb="00FCE4B4"/>
        <bgColor rgb="00FCE4B4"/>
      </patternFill>
    </fill>
    <fill>
      <patternFill patternType="solid">
        <fgColor rgb="00F4A6A6"/>
        <bgColor rgb="00F4A6A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0" pivotButton="0" quotePrefix="0" xfId="0"/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indent="1"/>
    </xf>
    <xf numFmtId="0" fontId="0" fillId="2" borderId="1" pivotButton="0" quotePrefix="0" xfId="0"/>
    <xf numFmtId="0" fontId="4" fillId="2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CE4B4"/>
          <bgColor rgb="00FCE4B4"/>
        </patternFill>
      </fill>
    </dxf>
    <dxf>
      <fill>
        <patternFill patternType="solid">
          <fgColor rgb="00F4A6A6"/>
          <bgColor rgb="00F4A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B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30" customHeight="1">
      <c r="A1" s="1" t="inlineStr">
        <is>
          <t>Matrice des risques projet : mode d'emploi</t>
        </is>
      </c>
      <c r="B1" s="2" t="n"/>
    </row>
    <row r="3" ht="28" customHeight="1">
      <c r="A3" s="3" t="n">
        <v>1</v>
      </c>
      <c r="B3" s="4" t="inlineStr">
        <is>
          <t>Cet outil sert à recenser, coter et suivre les risques d'un projet de construction, de l'étude jusqu'à la réception.</t>
        </is>
      </c>
    </row>
    <row r="4" ht="28" customHeight="1">
      <c r="A4" s="3" t="n">
        <v>2</v>
      </c>
      <c r="B4" s="4" t="inlineStr">
        <is>
          <t>Un risque par ligne dans la feuille Registre : décris-le comme un événement possible, pas comme un constat déjà survenu.</t>
        </is>
      </c>
    </row>
    <row r="5" ht="28" customHeight="1">
      <c r="A5" s="3" t="n">
        <v>3</v>
      </c>
      <c r="B5" s="4" t="inlineStr">
        <is>
          <t>Cote la probabilité et l'impact avec les échelles ci-dessous (1 à 5 chacune) : ne pas écraser la colonne criticité, elle se calcule seule.</t>
        </is>
      </c>
    </row>
    <row r="6" ht="28" customHeight="1">
      <c r="A6" s="3" t="n">
        <v>4</v>
      </c>
      <c r="B6" s="4" t="inlineStr">
        <is>
          <t>Choisis la stratégie de traitement dans la liste déroulante : éviter, réduire, transférer ou accepter, puis détaille les mesures concrètes.</t>
        </is>
      </c>
    </row>
    <row r="7" ht="28" customHeight="1">
      <c r="A7" s="3" t="n">
        <v>5</v>
      </c>
      <c r="B7" s="4" t="inlineStr">
        <is>
          <t>Mets à jour le statut (ouvert, en cours, clos) à chaque séance de coordination : la feuille Matrice ne compte que les risques non clos.</t>
        </is>
      </c>
    </row>
    <row r="8" ht="28" customHeight="1">
      <c r="A8" s="3" t="n">
        <v>6</v>
      </c>
      <c r="B8" s="4" t="inlineStr">
        <is>
          <t>La feuille Matrice te donne en un coup d'œil où se concentrent les risques non clos du projet, par croisement probabilité x impact.</t>
        </is>
      </c>
    </row>
    <row r="9" ht="28" customHeight="1">
      <c r="A9" s="3" t="n">
        <v>7</v>
      </c>
      <c r="B9" s="4" t="inlineStr">
        <is>
          <t>Revois le registre à chaque jalon du projet (études, appel d'offres, exécution, réception) : un risque clos peut en faire apparaître un autre.</t>
        </is>
      </c>
    </row>
    <row r="10" ht="28" customHeight="1">
      <c r="A10" s="3" t="n">
        <v>8</v>
      </c>
      <c r="B10" s="4" t="inlineStr">
        <is>
          <t>Un risque en zone rouge exige une mesure immédiate et un responsable nommé, pas seulement une ligne de texte.</t>
        </is>
      </c>
    </row>
    <row r="11" ht="28" customHeight="1">
      <c r="A11" s="3" t="n">
        <v>9</v>
      </c>
      <c r="B11" s="4" t="inlineStr">
        <is>
          <t>Ne supprime jamais une ligne close : garde l'historique, il sert à l'analyse de fin de projet et aux projets suivants.</t>
        </is>
      </c>
    </row>
    <row r="12" ht="28" customHeight="1">
      <c r="A12" s="3" t="n">
        <v>10</v>
      </c>
      <c r="B12" s="4" t="inlineStr">
        <is>
          <t>Cet outil ne remplace pas une analyse de risques contractuelle exigée par un mandat (SIA, marché public) : adapte-le au cahier des charges.</t>
        </is>
      </c>
    </row>
    <row r="14">
      <c r="A14" s="5" t="inlineStr">
        <is>
          <t>Échelle de probabilité (1 à 5)</t>
        </is>
      </c>
    </row>
    <row r="15">
      <c r="A15" s="6" t="inlineStr">
        <is>
          <t>Niveau</t>
        </is>
      </c>
      <c r="B15" s="6" t="inlineStr">
        <is>
          <t>Définition</t>
        </is>
      </c>
    </row>
    <row r="16">
      <c r="A16" s="3" t="inlineStr">
        <is>
          <t>1 : Très improbable</t>
        </is>
      </c>
      <c r="B16" s="4" t="inlineStr">
        <is>
          <t>N'est quasiment jamais observé sur ce type de projet.</t>
        </is>
      </c>
    </row>
    <row r="17">
      <c r="A17" s="3" t="inlineStr">
        <is>
          <t>2 : Improbable</t>
        </is>
      </c>
      <c r="B17" s="4" t="inlineStr">
        <is>
          <t>Peut survenir mais reste rare dans l'expérience du secteur.</t>
        </is>
      </c>
    </row>
    <row r="18">
      <c r="A18" s="3" t="inlineStr">
        <is>
          <t>3 : Possible</t>
        </is>
      </c>
      <c r="B18" s="4" t="inlineStr">
        <is>
          <t>Se produit régulièrement sur des projets comparables.</t>
        </is>
      </c>
    </row>
    <row r="19">
      <c r="A19" s="3" t="inlineStr">
        <is>
          <t>4 : Probable</t>
        </is>
      </c>
      <c r="B19" s="4" t="inlineStr">
        <is>
          <t>Déjà rencontré sur la plupart des projets similaires.</t>
        </is>
      </c>
    </row>
    <row r="20">
      <c r="A20" s="3" t="inlineStr">
        <is>
          <t>5 : Quasi certain</t>
        </is>
      </c>
      <c r="B20" s="4" t="inlineStr">
        <is>
          <t>Se produira presque sûrement sans action préventive.</t>
        </is>
      </c>
    </row>
    <row r="22">
      <c r="A22" s="5" t="inlineStr">
        <is>
          <t>Échelle d'impact (1 à 5)</t>
        </is>
      </c>
    </row>
    <row r="23">
      <c r="A23" s="6" t="inlineStr">
        <is>
          <t>Niveau</t>
        </is>
      </c>
      <c r="B23" s="6" t="inlineStr">
        <is>
          <t>Définition</t>
        </is>
      </c>
    </row>
    <row r="24">
      <c r="A24" s="3" t="inlineStr">
        <is>
          <t>1 : Négligeable</t>
        </is>
      </c>
      <c r="B24" s="4" t="inlineStr">
        <is>
          <t>Aucune conséquence notable sur coût, délai ou qualité.</t>
        </is>
      </c>
    </row>
    <row r="25">
      <c r="A25" s="3" t="inlineStr">
        <is>
          <t>2 : Mineur</t>
        </is>
      </c>
      <c r="B25" s="4" t="inlineStr">
        <is>
          <t>Écart absorbable sans révision du planning ni du budget.</t>
        </is>
      </c>
    </row>
    <row r="26">
      <c r="A26" s="3" t="inlineStr">
        <is>
          <t>3 : Modéré</t>
        </is>
      </c>
      <c r="B26" s="4" t="inlineStr">
        <is>
          <t>Retard ou surcoût gérable avec les réserves du projet.</t>
        </is>
      </c>
    </row>
    <row r="27">
      <c r="A27" s="3" t="inlineStr">
        <is>
          <t>4 : Majeur</t>
        </is>
      </c>
      <c r="B27" s="4" t="inlineStr">
        <is>
          <t>Dépassement significatif de délai, de budget ou de qualité.</t>
        </is>
      </c>
    </row>
    <row r="28">
      <c r="A28" s="3" t="inlineStr">
        <is>
          <t>5 : Critique</t>
        </is>
      </c>
      <c r="B28" s="4" t="inlineStr">
        <is>
          <t>Remet en cause l'objectif, le budget ou le délai du projet.</t>
        </is>
      </c>
    </row>
    <row r="30">
      <c r="A30" s="5" t="inlineStr">
        <is>
          <t>Code couleur de la criticité (probabilité x impact)</t>
        </is>
      </c>
    </row>
    <row r="31">
      <c r="A31" s="7" t="inlineStr">
        <is>
          <t>Criticité de 1 à 6</t>
        </is>
      </c>
      <c r="B31" s="4" t="inlineStr">
        <is>
          <t>Risque mineur : suivi de routine.</t>
        </is>
      </c>
    </row>
    <row r="32">
      <c r="A32" s="8" t="inlineStr">
        <is>
          <t>Criticité de 7 à 12</t>
        </is>
      </c>
      <c r="B32" s="4" t="inlineStr">
        <is>
          <t>Risque significatif : mesures de réduction actives, suivi rapproché.</t>
        </is>
      </c>
    </row>
    <row r="33">
      <c r="A33" s="9" t="inlineStr">
        <is>
          <t>Criticité de 13 à 25</t>
        </is>
      </c>
      <c r="B33" s="4" t="inlineStr">
        <is>
          <t>Risque majeur : action immédiate, information du maître d'ouvrage.</t>
        </is>
      </c>
    </row>
  </sheetData>
  <mergeCells count="4">
    <mergeCell ref="A14:B14"/>
    <mergeCell ref="A30:B30"/>
    <mergeCell ref="A22:B22"/>
    <mergeCell ref="A1:B1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2" customWidth="1" min="4" max="4"/>
    <col width="12" customWidth="1" min="5" max="5"/>
    <col width="10" customWidth="1" min="6" max="6"/>
    <col width="13" customWidth="1" min="7" max="7"/>
    <col width="42" customWidth="1" min="8" max="8"/>
    <col width="23" customWidth="1" min="9" max="9"/>
    <col width="12" customWidth="1" min="10" max="10"/>
    <col width="12" customWidth="1" min="11" max="11"/>
  </cols>
  <sheetData>
    <row r="1" ht="26" customHeight="1">
      <c r="A1" s="10" t="inlineStr">
        <is>
          <t>ID</t>
        </is>
      </c>
      <c r="B1" s="10" t="inlineStr">
        <is>
          <t>Description du risque</t>
        </is>
      </c>
      <c r="C1" s="10" t="inlineStr">
        <is>
          <t>Catégorie</t>
        </is>
      </c>
      <c r="D1" s="10" t="inlineStr">
        <is>
          <t>Probabilité (1-5)</t>
        </is>
      </c>
      <c r="E1" s="10" t="inlineStr">
        <is>
          <t>Impact (1-5)</t>
        </is>
      </c>
      <c r="F1" s="10" t="inlineStr">
        <is>
          <t>Criticité</t>
        </is>
      </c>
      <c r="G1" s="10" t="inlineStr">
        <is>
          <t>Stratégie</t>
        </is>
      </c>
      <c r="H1" s="10" t="inlineStr">
        <is>
          <t>Mesures</t>
        </is>
      </c>
      <c r="I1" s="10" t="inlineStr">
        <is>
          <t>Responsable</t>
        </is>
      </c>
      <c r="J1" s="10" t="inlineStr">
        <is>
          <t>Échéance</t>
        </is>
      </c>
      <c r="K1" s="10" t="inlineStr">
        <is>
          <t>Statut</t>
        </is>
      </c>
    </row>
    <row r="2" ht="48" customHeight="1">
      <c r="A2" s="11" t="n">
        <v>1</v>
      </c>
      <c r="B2" s="12" t="inlineStr">
        <is>
          <t>Pollution du terrain découverte lors des fouilles (hydrocarbures, métaux lourds)</t>
        </is>
      </c>
      <c r="C2" s="13" t="inlineStr">
        <is>
          <t>technique</t>
        </is>
      </c>
      <c r="D2" s="13" t="n">
        <v>3</v>
      </c>
      <c r="E2" s="13" t="n">
        <v>4</v>
      </c>
      <c r="F2" s="14">
        <f>D2*E2</f>
        <v/>
      </c>
      <c r="G2" s="13" t="inlineStr">
        <is>
          <t>réduire</t>
        </is>
      </c>
      <c r="H2" s="12" t="inlineStr">
        <is>
          <t>Diagnostic géotechnique complémentaire, filière d'évacuation agréée, provision budgétaire dédiée</t>
        </is>
      </c>
      <c r="I2" s="11" t="inlineStr">
        <is>
          <t>Direction des travaux</t>
        </is>
      </c>
      <c r="J2" s="11" t="inlineStr">
        <is>
          <t>30.09.2026</t>
        </is>
      </c>
      <c r="K2" s="13" t="inlineStr">
        <is>
          <t>ouvert</t>
        </is>
      </c>
    </row>
    <row r="3" ht="48" customHeight="1">
      <c r="A3" s="15" t="n">
        <v>2</v>
      </c>
      <c r="B3" s="16" t="inlineStr">
        <is>
          <t>Faillite d'un sous-traitant clé en cours de chantier (étanchéité)</t>
        </is>
      </c>
      <c r="C3" s="13" t="inlineStr">
        <is>
          <t>financier</t>
        </is>
      </c>
      <c r="D3" s="13" t="n">
        <v>3</v>
      </c>
      <c r="E3" s="13" t="n">
        <v>5</v>
      </c>
      <c r="F3" s="14">
        <f>D3*E3</f>
        <v/>
      </c>
      <c r="G3" s="13" t="inlineStr">
        <is>
          <t>transférer</t>
        </is>
      </c>
      <c r="H3" s="16" t="inlineStr">
        <is>
          <t>Garantie bancaire d'exécution exigée, clause de résiliation immédiate, second sous-traitant identifié en réserve</t>
        </is>
      </c>
      <c r="I3" s="15" t="inlineStr">
        <is>
          <t>Chef de projet</t>
        </is>
      </c>
      <c r="J3" s="15" t="inlineStr">
        <is>
          <t>31.12.2026</t>
        </is>
      </c>
      <c r="K3" s="13" t="inlineStr">
        <is>
          <t>ouvert</t>
        </is>
      </c>
    </row>
    <row r="4" ht="48" customHeight="1">
      <c r="A4" s="11" t="n">
        <v>3</v>
      </c>
      <c r="B4" s="12" t="inlineStr">
        <is>
          <t>Retard d'obtention du permis de construire (opposition ou complément d'instruction)</t>
        </is>
      </c>
      <c r="C4" s="13" t="inlineStr">
        <is>
          <t>juridique</t>
        </is>
      </c>
      <c r="D4" s="13" t="n">
        <v>4</v>
      </c>
      <c r="E4" s="13" t="n">
        <v>4</v>
      </c>
      <c r="F4" s="14">
        <f>D4*E4</f>
        <v/>
      </c>
      <c r="G4" s="13" t="inlineStr">
        <is>
          <t>réduire</t>
        </is>
      </c>
      <c r="H4" s="12" t="inlineStr">
        <is>
          <t>Dossier de mise à l'enquête complet et anticipé, contact préalable avec la commune, marge de planning intégrée</t>
        </is>
      </c>
      <c r="I4" s="11" t="inlineStr">
        <is>
          <t>Chef de projet</t>
        </is>
      </c>
      <c r="J4" s="11" t="inlineStr">
        <is>
          <t>15.10.2026</t>
        </is>
      </c>
      <c r="K4" s="13" t="inlineStr">
        <is>
          <t>en cours</t>
        </is>
      </c>
    </row>
    <row r="5" ht="48" customHeight="1">
      <c r="A5" s="15" t="n">
        <v>4</v>
      </c>
      <c r="B5" s="16" t="inlineStr">
        <is>
          <t>Hausse du prix de l'acier d'armature entre la soumission et l'exécution</t>
        </is>
      </c>
      <c r="C5" s="13" t="inlineStr">
        <is>
          <t>financier</t>
        </is>
      </c>
      <c r="D5" s="13" t="n">
        <v>4</v>
      </c>
      <c r="E5" s="13" t="n">
        <v>3</v>
      </c>
      <c r="F5" s="14">
        <f>D5*E5</f>
        <v/>
      </c>
      <c r="G5" s="13" t="inlineStr">
        <is>
          <t>réduire</t>
        </is>
      </c>
      <c r="H5" s="16" t="inlineStr">
        <is>
          <t>Clause de renchérissement dans les contrats CFC 211-214, suivi des indices KBOB, commande anticipée des lots sensibles</t>
        </is>
      </c>
      <c r="I5" s="15" t="inlineStr">
        <is>
          <t>Chef de projet</t>
        </is>
      </c>
      <c r="J5" s="15" t="inlineStr">
        <is>
          <t>31.01.2027</t>
        </is>
      </c>
      <c r="K5" s="13" t="inlineStr">
        <is>
          <t>ouvert</t>
        </is>
      </c>
    </row>
    <row r="6" ht="48" customHeight="1">
      <c r="A6" s="11" t="n">
        <v>5</v>
      </c>
      <c r="B6" s="12" t="inlineStr">
        <is>
          <t>Opposition de voisinage lors de la mise à l'enquête publique</t>
        </is>
      </c>
      <c r="C6" s="13" t="inlineStr">
        <is>
          <t>juridique</t>
        </is>
      </c>
      <c r="D6" s="13" t="n">
        <v>3</v>
      </c>
      <c r="E6" s="13" t="n">
        <v>3</v>
      </c>
      <c r="F6" s="14">
        <f>D6*E6</f>
        <v/>
      </c>
      <c r="G6" s="13" t="inlineStr">
        <is>
          <t>réduire</t>
        </is>
      </c>
      <c r="H6" s="12" t="inlineStr">
        <is>
          <t>Séance d'information préalable des riverains, adaptation du projet sur les points sensibles (gabarit, accès chantier)</t>
        </is>
      </c>
      <c r="I6" s="11" t="inlineStr">
        <is>
          <t>Chef de projet</t>
        </is>
      </c>
      <c r="J6" s="11" t="inlineStr">
        <is>
          <t>30.09.2026</t>
        </is>
      </c>
      <c r="K6" s="13" t="inlineStr">
        <is>
          <t>en cours</t>
        </is>
      </c>
    </row>
    <row r="7" ht="48" customHeight="1">
      <c r="A7" s="15" t="n">
        <v>6</v>
      </c>
      <c r="B7" s="16" t="inlineStr">
        <is>
          <t>Défaut de coordination entre corps de métier CVSE lors du montage des faux-plafonds</t>
        </is>
      </c>
      <c r="C7" s="13" t="inlineStr">
        <is>
          <t>technique</t>
        </is>
      </c>
      <c r="D7" s="13" t="n">
        <v>2</v>
      </c>
      <c r="E7" s="13" t="n">
        <v>2</v>
      </c>
      <c r="F7" s="14">
        <f>D7*E7</f>
        <v/>
      </c>
      <c r="G7" s="13" t="inlineStr">
        <is>
          <t>réduire</t>
        </is>
      </c>
      <c r="H7" s="16" t="inlineStr">
        <is>
          <t>Séances de coordination technique hebdomadaires, plans de synthèse validés avant exécution</t>
        </is>
      </c>
      <c r="I7" s="15" t="inlineStr">
        <is>
          <t>Direction des travaux</t>
        </is>
      </c>
      <c r="J7" s="15" t="inlineStr">
        <is>
          <t>28.02.2027</t>
        </is>
      </c>
      <c r="K7" s="13" t="inlineStr">
        <is>
          <t>ouvert</t>
        </is>
      </c>
    </row>
    <row r="8" ht="48" customHeight="1">
      <c r="A8" s="11" t="n">
        <v>7</v>
      </c>
      <c r="B8" s="12" t="inlineStr">
        <is>
          <t>Non-respect du délai d'exécution du gros œuvre</t>
        </is>
      </c>
      <c r="C8" s="13" t="inlineStr">
        <is>
          <t>planning</t>
        </is>
      </c>
      <c r="D8" s="13" t="n">
        <v>3</v>
      </c>
      <c r="E8" s="13" t="n">
        <v>4</v>
      </c>
      <c r="F8" s="14">
        <f>D8*E8</f>
        <v/>
      </c>
      <c r="G8" s="13" t="inlineStr">
        <is>
          <t>réduire</t>
        </is>
      </c>
      <c r="H8" s="12" t="inlineStr">
        <is>
          <t>Planning détaillé avec jalons intermédiaires, pénalités contractuelles, suivi hebdomadaire de l'avancement réel</t>
        </is>
      </c>
      <c r="I8" s="11" t="inlineStr">
        <is>
          <t>Direction des travaux</t>
        </is>
      </c>
      <c r="J8" s="11" t="inlineStr">
        <is>
          <t>31.03.2027</t>
        </is>
      </c>
      <c r="K8" s="13" t="inlineStr">
        <is>
          <t>ouvert</t>
        </is>
      </c>
    </row>
    <row r="9" ht="48" customHeight="1">
      <c r="A9" s="15" t="n">
        <v>8</v>
      </c>
      <c r="B9" s="16" t="inlineStr">
        <is>
          <t>Découverte de vestiges archéologiques lors des fouilles</t>
        </is>
      </c>
      <c r="C9" s="13" t="inlineStr">
        <is>
          <t>technique</t>
        </is>
      </c>
      <c r="D9" s="13" t="n">
        <v>1</v>
      </c>
      <c r="E9" s="13" t="n">
        <v>5</v>
      </c>
      <c r="F9" s="14">
        <f>D9*E9</f>
        <v/>
      </c>
      <c r="G9" s="13" t="inlineStr">
        <is>
          <t>accepter</t>
        </is>
      </c>
      <c r="H9" s="16" t="inlineStr">
        <is>
          <t>Provision de délai et de budget, coordination anticipée avec le service cantonal d'archéologie</t>
        </is>
      </c>
      <c r="I9" s="15" t="inlineStr">
        <is>
          <t>Maître d'ouvrage</t>
        </is>
      </c>
      <c r="J9" s="15" t="inlineStr">
        <is>
          <t>31.10.2026</t>
        </is>
      </c>
      <c r="K9" s="13" t="inlineStr">
        <is>
          <t>ouvert</t>
        </is>
      </c>
    </row>
    <row r="10" ht="48" customHeight="1">
      <c r="A10" s="11" t="n">
        <v>9</v>
      </c>
      <c r="B10" s="12" t="inlineStr">
        <is>
          <t>Litige sur des travaux en régie exécutés sans bon de commande signé</t>
        </is>
      </c>
      <c r="C10" s="13" t="inlineStr">
        <is>
          <t>juridique</t>
        </is>
      </c>
      <c r="D10" s="13" t="n">
        <v>2</v>
      </c>
      <c r="E10" s="13" t="n">
        <v>2</v>
      </c>
      <c r="F10" s="14">
        <f>D10*E10</f>
        <v/>
      </c>
      <c r="G10" s="13" t="inlineStr">
        <is>
          <t>réduire</t>
        </is>
      </c>
      <c r="H10" s="12" t="inlineStr">
        <is>
          <t>Procédure stricte de validation des régies, bons signés avant exécution, contrôle mensuel</t>
        </is>
      </c>
      <c r="I10" s="11" t="inlineStr">
        <is>
          <t>Chef de projet</t>
        </is>
      </c>
      <c r="J10" s="11" t="inlineStr">
        <is>
          <t>15.06.2026</t>
        </is>
      </c>
      <c r="K10" s="13" t="inlineStr">
        <is>
          <t>clos</t>
        </is>
      </c>
    </row>
    <row r="11" ht="48" customHeight="1">
      <c r="A11" s="15" t="n">
        <v>10</v>
      </c>
      <c r="B11" s="16" t="inlineStr">
        <is>
          <t>Pénurie de main-d'œuvre qualifiée sur le marché romand</t>
        </is>
      </c>
      <c r="C11" s="13" t="inlineStr">
        <is>
          <t>planning</t>
        </is>
      </c>
      <c r="D11" s="13" t="n">
        <v>4</v>
      </c>
      <c r="E11" s="13" t="n">
        <v>3</v>
      </c>
      <c r="F11" s="14">
        <f>D11*E11</f>
        <v/>
      </c>
      <c r="G11" s="13" t="inlineStr">
        <is>
          <t>transférer</t>
        </is>
      </c>
      <c r="H11" s="16" t="inlineStr">
        <is>
          <t>Contrats-cadres avec plusieurs entreprises, planning phasé pour lisser la charge, recours ponctuel à l'intérim spécialisé</t>
        </is>
      </c>
      <c r="I11" s="15" t="inlineStr">
        <is>
          <t>Direction des travaux</t>
        </is>
      </c>
      <c r="J11" s="15" t="inlineStr">
        <is>
          <t>31.03.2027</t>
        </is>
      </c>
      <c r="K11" s="13" t="inlineStr">
        <is>
          <t>en cours</t>
        </is>
      </c>
    </row>
    <row r="12" ht="48" customHeight="1">
      <c r="A12" s="11" t="n">
        <v>11</v>
      </c>
      <c r="B12" s="12" t="inlineStr">
        <is>
          <t>Dépassement de budget sur les travaux spéciaux (fondations spéciales)</t>
        </is>
      </c>
      <c r="C12" s="13" t="inlineStr">
        <is>
          <t>financier</t>
        </is>
      </c>
      <c r="D12" s="13" t="n">
        <v>3</v>
      </c>
      <c r="E12" s="13" t="n">
        <v>4</v>
      </c>
      <c r="F12" s="14">
        <f>D12*E12</f>
        <v/>
      </c>
      <c r="G12" s="13" t="inlineStr">
        <is>
          <t>réduire</t>
        </is>
      </c>
      <c r="H12" s="12" t="inlineStr">
        <is>
          <t>Étude géotechnique préalable renforcée, provision pour risques CFC 2, validation des devis complémentaires par le MO</t>
        </is>
      </c>
      <c r="I12" s="11" t="inlineStr">
        <is>
          <t>Chef de projet</t>
        </is>
      </c>
      <c r="J12" s="11" t="inlineStr">
        <is>
          <t>30.11.2026</t>
        </is>
      </c>
      <c r="K12" s="13" t="inlineStr">
        <is>
          <t>ouvert</t>
        </is>
      </c>
    </row>
    <row r="13" ht="48" customHeight="1">
      <c r="A13" s="15" t="n">
        <v>12</v>
      </c>
      <c r="B13" s="16" t="inlineStr">
        <is>
          <t>Sinistre lors du transport ou du grutage d'éléments préfabriqués</t>
        </is>
      </c>
      <c r="C13" s="13" t="inlineStr">
        <is>
          <t>technique</t>
        </is>
      </c>
      <c r="D13" s="13" t="n">
        <v>2</v>
      </c>
      <c r="E13" s="13" t="n">
        <v>3</v>
      </c>
      <c r="F13" s="14">
        <f>D13*E13</f>
        <v/>
      </c>
      <c r="G13" s="13" t="inlineStr">
        <is>
          <t>réduire</t>
        </is>
      </c>
      <c r="H13" s="16" t="inlineStr">
        <is>
          <t>Plan de levage validé par un ingénieur, assurance transport dédiée, zone de grutage balisée et sécurisée</t>
        </is>
      </c>
      <c r="I13" s="15" t="inlineStr">
        <is>
          <t>Direction des travaux</t>
        </is>
      </c>
      <c r="J13" s="15" t="inlineStr">
        <is>
          <t>31.08.2026</t>
        </is>
      </c>
      <c r="K13" s="13" t="inlineStr">
        <is>
          <t>clos</t>
        </is>
      </c>
    </row>
    <row r="14">
      <c r="A14" s="13" t="n"/>
      <c r="B14" s="17" t="n"/>
      <c r="C14" s="13" t="n"/>
      <c r="D14" s="13" t="n"/>
      <c r="E14" s="13" t="n"/>
      <c r="F14" s="14">
        <f>IF(OR(D14="",E14=""),"",D14*E14)</f>
        <v/>
      </c>
      <c r="G14" s="13" t="n"/>
      <c r="H14" s="17" t="n"/>
      <c r="I14" s="13" t="n"/>
      <c r="J14" s="13" t="n"/>
      <c r="K14" s="13" t="n"/>
    </row>
    <row r="15">
      <c r="A15" s="13" t="n"/>
      <c r="B15" s="17" t="n"/>
      <c r="C15" s="13" t="n"/>
      <c r="D15" s="13" t="n"/>
      <c r="E15" s="13" t="n"/>
      <c r="F15" s="14">
        <f>IF(OR(D15="",E15=""),"",D15*E15)</f>
        <v/>
      </c>
      <c r="G15" s="13" t="n"/>
      <c r="H15" s="17" t="n"/>
      <c r="I15" s="13" t="n"/>
      <c r="J15" s="13" t="n"/>
      <c r="K15" s="13" t="n"/>
    </row>
    <row r="16">
      <c r="A16" s="13" t="n"/>
      <c r="B16" s="17" t="n"/>
      <c r="C16" s="13" t="n"/>
      <c r="D16" s="13" t="n"/>
      <c r="E16" s="13" t="n"/>
      <c r="F16" s="14">
        <f>IF(OR(D16="",E16=""),"",D16*E16)</f>
        <v/>
      </c>
      <c r="G16" s="13" t="n"/>
      <c r="H16" s="17" t="n"/>
      <c r="I16" s="13" t="n"/>
      <c r="J16" s="13" t="n"/>
      <c r="K16" s="13" t="n"/>
    </row>
    <row r="17">
      <c r="A17" s="13" t="n"/>
      <c r="B17" s="17" t="n"/>
      <c r="C17" s="13" t="n"/>
      <c r="D17" s="13" t="n"/>
      <c r="E17" s="13" t="n"/>
      <c r="F17" s="14">
        <f>IF(OR(D17="",E17=""),"",D17*E17)</f>
        <v/>
      </c>
      <c r="G17" s="13" t="n"/>
      <c r="H17" s="17" t="n"/>
      <c r="I17" s="13" t="n"/>
      <c r="J17" s="13" t="n"/>
      <c r="K17" s="13" t="n"/>
    </row>
    <row r="18">
      <c r="A18" s="13" t="n"/>
      <c r="B18" s="17" t="n"/>
      <c r="C18" s="13" t="n"/>
      <c r="D18" s="13" t="n"/>
      <c r="E18" s="13" t="n"/>
      <c r="F18" s="14">
        <f>IF(OR(D18="",E18=""),"",D18*E18)</f>
        <v/>
      </c>
      <c r="G18" s="13" t="n"/>
      <c r="H18" s="17" t="n"/>
      <c r="I18" s="13" t="n"/>
      <c r="J18" s="13" t="n"/>
      <c r="K18" s="13" t="n"/>
    </row>
    <row r="19">
      <c r="A19" s="13" t="n"/>
      <c r="B19" s="17" t="n"/>
      <c r="C19" s="13" t="n"/>
      <c r="D19" s="13" t="n"/>
      <c r="E19" s="13" t="n"/>
      <c r="F19" s="14">
        <f>IF(OR(D19="",E19=""),"",D19*E19)</f>
        <v/>
      </c>
      <c r="G19" s="13" t="n"/>
      <c r="H19" s="17" t="n"/>
      <c r="I19" s="13" t="n"/>
      <c r="J19" s="13" t="n"/>
      <c r="K19" s="13" t="n"/>
    </row>
    <row r="20">
      <c r="A20" s="13" t="n"/>
      <c r="B20" s="17" t="n"/>
      <c r="C20" s="13" t="n"/>
      <c r="D20" s="13" t="n"/>
      <c r="E20" s="13" t="n"/>
      <c r="F20" s="14">
        <f>IF(OR(D20="",E20=""),"",D20*E20)</f>
        <v/>
      </c>
      <c r="G20" s="13" t="n"/>
      <c r="H20" s="17" t="n"/>
      <c r="I20" s="13" t="n"/>
      <c r="J20" s="13" t="n"/>
      <c r="K20" s="13" t="n"/>
    </row>
    <row r="21">
      <c r="A21" s="13" t="n"/>
      <c r="B21" s="17" t="n"/>
      <c r="C21" s="13" t="n"/>
      <c r="D21" s="13" t="n"/>
      <c r="E21" s="13" t="n"/>
      <c r="F21" s="14">
        <f>IF(OR(D21="",E21=""),"",D21*E21)</f>
        <v/>
      </c>
      <c r="G21" s="13" t="n"/>
      <c r="H21" s="17" t="n"/>
      <c r="I21" s="13" t="n"/>
      <c r="J21" s="13" t="n"/>
      <c r="K21" s="13" t="n"/>
    </row>
    <row r="22">
      <c r="A22" s="13" t="n"/>
      <c r="B22" s="17" t="n"/>
      <c r="C22" s="13" t="n"/>
      <c r="D22" s="13" t="n"/>
      <c r="E22" s="13" t="n"/>
      <c r="F22" s="14">
        <f>IF(OR(D22="",E22=""),"",D22*E22)</f>
        <v/>
      </c>
      <c r="G22" s="13" t="n"/>
      <c r="H22" s="17" t="n"/>
      <c r="I22" s="13" t="n"/>
      <c r="J22" s="13" t="n"/>
      <c r="K22" s="13" t="n"/>
    </row>
    <row r="23">
      <c r="A23" s="13" t="n"/>
      <c r="B23" s="17" t="n"/>
      <c r="C23" s="13" t="n"/>
      <c r="D23" s="13" t="n"/>
      <c r="E23" s="13" t="n"/>
      <c r="F23" s="14">
        <f>IF(OR(D23="",E23=""),"",D23*E23)</f>
        <v/>
      </c>
      <c r="G23" s="13" t="n"/>
      <c r="H23" s="17" t="n"/>
      <c r="I23" s="13" t="n"/>
      <c r="J23" s="13" t="n"/>
      <c r="K23" s="13" t="n"/>
    </row>
    <row r="24">
      <c r="A24" s="13" t="n"/>
      <c r="B24" s="17" t="n"/>
      <c r="C24" s="13" t="n"/>
      <c r="D24" s="13" t="n"/>
      <c r="E24" s="13" t="n"/>
      <c r="F24" s="14">
        <f>IF(OR(D24="",E24=""),"",D24*E24)</f>
        <v/>
      </c>
      <c r="G24" s="13" t="n"/>
      <c r="H24" s="17" t="n"/>
      <c r="I24" s="13" t="n"/>
      <c r="J24" s="13" t="n"/>
      <c r="K24" s="13" t="n"/>
    </row>
    <row r="25">
      <c r="A25" s="13" t="n"/>
      <c r="B25" s="17" t="n"/>
      <c r="C25" s="13" t="n"/>
      <c r="D25" s="13" t="n"/>
      <c r="E25" s="13" t="n"/>
      <c r="F25" s="14">
        <f>IF(OR(D25="",E25=""),"",D25*E25)</f>
        <v/>
      </c>
      <c r="G25" s="13" t="n"/>
      <c r="H25" s="17" t="n"/>
      <c r="I25" s="13" t="n"/>
      <c r="J25" s="13" t="n"/>
      <c r="K25" s="13" t="n"/>
    </row>
    <row r="26">
      <c r="A26" s="13" t="n"/>
      <c r="B26" s="17" t="n"/>
      <c r="C26" s="13" t="n"/>
      <c r="D26" s="13" t="n"/>
      <c r="E26" s="13" t="n"/>
      <c r="F26" s="14">
        <f>IF(OR(D26="",E26=""),"",D26*E26)</f>
        <v/>
      </c>
      <c r="G26" s="13" t="n"/>
      <c r="H26" s="17" t="n"/>
      <c r="I26" s="13" t="n"/>
      <c r="J26" s="13" t="n"/>
      <c r="K26" s="13" t="n"/>
    </row>
    <row r="27">
      <c r="A27" s="13" t="n"/>
      <c r="B27" s="17" t="n"/>
      <c r="C27" s="13" t="n"/>
      <c r="D27" s="13" t="n"/>
      <c r="E27" s="13" t="n"/>
      <c r="F27" s="14">
        <f>IF(OR(D27="",E27=""),"",D27*E27)</f>
        <v/>
      </c>
      <c r="G27" s="13" t="n"/>
      <c r="H27" s="17" t="n"/>
      <c r="I27" s="13" t="n"/>
      <c r="J27" s="13" t="n"/>
      <c r="K27" s="13" t="n"/>
    </row>
    <row r="28">
      <c r="A28" s="13" t="n"/>
      <c r="B28" s="17" t="n"/>
      <c r="C28" s="13" t="n"/>
      <c r="D28" s="13" t="n"/>
      <c r="E28" s="13" t="n"/>
      <c r="F28" s="14">
        <f>IF(OR(D28="",E28=""),"",D28*E28)</f>
        <v/>
      </c>
      <c r="G28" s="13" t="n"/>
      <c r="H28" s="17" t="n"/>
      <c r="I28" s="13" t="n"/>
      <c r="J28" s="13" t="n"/>
      <c r="K28" s="13" t="n"/>
    </row>
    <row r="29">
      <c r="A29" s="13" t="n"/>
      <c r="B29" s="17" t="n"/>
      <c r="C29" s="13" t="n"/>
      <c r="D29" s="13" t="n"/>
      <c r="E29" s="13" t="n"/>
      <c r="F29" s="14">
        <f>IF(OR(D29="",E29=""),"",D29*E29)</f>
        <v/>
      </c>
      <c r="G29" s="13" t="n"/>
      <c r="H29" s="17" t="n"/>
      <c r="I29" s="13" t="n"/>
      <c r="J29" s="13" t="n"/>
      <c r="K29" s="13" t="n"/>
    </row>
    <row r="30">
      <c r="A30" s="13" t="n"/>
      <c r="B30" s="17" t="n"/>
      <c r="C30" s="13" t="n"/>
      <c r="D30" s="13" t="n"/>
      <c r="E30" s="13" t="n"/>
      <c r="F30" s="14">
        <f>IF(OR(D30="",E30=""),"",D30*E30)</f>
        <v/>
      </c>
      <c r="G30" s="13" t="n"/>
      <c r="H30" s="17" t="n"/>
      <c r="I30" s="13" t="n"/>
      <c r="J30" s="13" t="n"/>
      <c r="K30" s="13" t="n"/>
    </row>
    <row r="31">
      <c r="A31" s="13" t="n"/>
      <c r="B31" s="17" t="n"/>
      <c r="C31" s="13" t="n"/>
      <c r="D31" s="13" t="n"/>
      <c r="E31" s="13" t="n"/>
      <c r="F31" s="14">
        <f>IF(OR(D31="",E31=""),"",D31*E31)</f>
        <v/>
      </c>
      <c r="G31" s="13" t="n"/>
      <c r="H31" s="17" t="n"/>
      <c r="I31" s="13" t="n"/>
      <c r="J31" s="13" t="n"/>
      <c r="K31" s="13" t="n"/>
    </row>
    <row r="32">
      <c r="A32" s="13" t="n"/>
      <c r="B32" s="17" t="n"/>
      <c r="C32" s="13" t="n"/>
      <c r="D32" s="13" t="n"/>
      <c r="E32" s="13" t="n"/>
      <c r="F32" s="14">
        <f>IF(OR(D32="",E32=""),"",D32*E32)</f>
        <v/>
      </c>
      <c r="G32" s="13" t="n"/>
      <c r="H32" s="17" t="n"/>
      <c r="I32" s="13" t="n"/>
      <c r="J32" s="13" t="n"/>
      <c r="K32" s="13" t="n"/>
    </row>
    <row r="33">
      <c r="A33" s="13" t="n"/>
      <c r="B33" s="17" t="n"/>
      <c r="C33" s="13" t="n"/>
      <c r="D33" s="13" t="n"/>
      <c r="E33" s="13" t="n"/>
      <c r="F33" s="14">
        <f>IF(OR(D33="",E33=""),"",D33*E33)</f>
        <v/>
      </c>
      <c r="G33" s="13" t="n"/>
      <c r="H33" s="17" t="n"/>
      <c r="I33" s="13" t="n"/>
      <c r="J33" s="13" t="n"/>
      <c r="K33" s="13" t="n"/>
    </row>
  </sheetData>
  <conditionalFormatting sqref="F2:F33">
    <cfRule type="cellIs" priority="1" operator="lessThanOrEqual" dxfId="0">
      <formula>6</formula>
    </cfRule>
    <cfRule type="cellIs" priority="2" operator="between" dxfId="1">
      <formula>7</formula>
      <formula>12</formula>
    </cfRule>
    <cfRule type="cellIs" priority="3" operator="greaterThanOrEqual" dxfId="2">
      <formula>13</formula>
    </cfRule>
  </conditionalFormatting>
  <dataValidations count="3">
    <dataValidation sqref="C2:C33" showDropDown="0" showInputMessage="0" showErrorMessage="1" allowBlank="0" errorTitle="Valeur invalide" error="Choisis une valeur dans la liste." type="list">
      <formula1>"technique,financier,planning,juridique"</formula1>
    </dataValidation>
    <dataValidation sqref="G2:G33" showDropDown="0" showInputMessage="0" showErrorMessage="1" allowBlank="0" errorTitle="Valeur invalide" error="Choisis une valeur dans la liste." type="list">
      <formula1>"éviter,réduire,transférer,accepter"</formula1>
    </dataValidation>
    <dataValidation sqref="K2:K33" showDropDown="0" showInputMessage="0" showErrorMessage="1" allowBlank="0" errorTitle="Valeur invalide" error="Choisis une valeur dans la liste." type="list">
      <formula1>"ouvert,en cours,clos"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G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8" t="inlineStr">
        <is>
          <t>Nombre de risques NON CLOS par croisement probabilité (lignes) x impact (colonnes)</t>
        </is>
      </c>
      <c r="B1" s="2" t="n"/>
      <c r="C1" s="2" t="n"/>
      <c r="D1" s="2" t="n"/>
      <c r="E1" s="2" t="n"/>
      <c r="F1" s="2" t="n"/>
      <c r="G1" s="2" t="n"/>
    </row>
    <row r="2">
      <c r="A2" s="19" t="n"/>
      <c r="B2" s="20" t="inlineStr">
        <is>
          <t>Probabilité \ Impact</t>
        </is>
      </c>
      <c r="C2" s="10" t="inlineStr">
        <is>
          <t>Impact 1</t>
        </is>
      </c>
      <c r="D2" s="10" t="inlineStr">
        <is>
          <t>Impact 2</t>
        </is>
      </c>
      <c r="E2" s="10" t="inlineStr">
        <is>
          <t>Impact 3</t>
        </is>
      </c>
      <c r="F2" s="10" t="inlineStr">
        <is>
          <t>Impact 4</t>
        </is>
      </c>
      <c r="G2" s="10" t="inlineStr">
        <is>
          <t>Impact 5</t>
        </is>
      </c>
    </row>
    <row r="3">
      <c r="A3" s="19" t="n"/>
      <c r="B3" s="20" t="inlineStr">
        <is>
          <t>Probabilité 1</t>
        </is>
      </c>
      <c r="C3" s="21">
        <f>COUNTIFS(Registre!$D$2:$D$33,1,Registre!$E$2:$E$33,1,Registre!$K$2:$K$33,"&lt;&gt;clos")</f>
        <v/>
      </c>
      <c r="D3" s="21">
        <f>COUNTIFS(Registre!$D$2:$D$33,1,Registre!$E$2:$E$33,2,Registre!$K$2:$K$33,"&lt;&gt;clos")</f>
        <v/>
      </c>
      <c r="E3" s="21">
        <f>COUNTIFS(Registre!$D$2:$D$33,1,Registre!$E$2:$E$33,3,Registre!$K$2:$K$33,"&lt;&gt;clos")</f>
        <v/>
      </c>
      <c r="F3" s="21">
        <f>COUNTIFS(Registre!$D$2:$D$33,1,Registre!$E$2:$E$33,4,Registre!$K$2:$K$33,"&lt;&gt;clos")</f>
        <v/>
      </c>
      <c r="G3" s="21">
        <f>COUNTIFS(Registre!$D$2:$D$33,1,Registre!$E$2:$E$33,5,Registre!$K$2:$K$33,"&lt;&gt;clos")</f>
        <v/>
      </c>
    </row>
    <row r="4">
      <c r="A4" s="19" t="n"/>
      <c r="B4" s="20" t="inlineStr">
        <is>
          <t>Probabilité 2</t>
        </is>
      </c>
      <c r="C4" s="21">
        <f>COUNTIFS(Registre!$D$2:$D$33,2,Registre!$E$2:$E$33,1,Registre!$K$2:$K$33,"&lt;&gt;clos")</f>
        <v/>
      </c>
      <c r="D4" s="21">
        <f>COUNTIFS(Registre!$D$2:$D$33,2,Registre!$E$2:$E$33,2,Registre!$K$2:$K$33,"&lt;&gt;clos")</f>
        <v/>
      </c>
      <c r="E4" s="21">
        <f>COUNTIFS(Registre!$D$2:$D$33,2,Registre!$E$2:$E$33,3,Registre!$K$2:$K$33,"&lt;&gt;clos")</f>
        <v/>
      </c>
      <c r="F4" s="22">
        <f>COUNTIFS(Registre!$D$2:$D$33,2,Registre!$E$2:$E$33,4,Registre!$K$2:$K$33,"&lt;&gt;clos")</f>
        <v/>
      </c>
      <c r="G4" s="22">
        <f>COUNTIFS(Registre!$D$2:$D$33,2,Registre!$E$2:$E$33,5,Registre!$K$2:$K$33,"&lt;&gt;clos")</f>
        <v/>
      </c>
    </row>
    <row r="5">
      <c r="A5" s="19" t="n"/>
      <c r="B5" s="20" t="inlineStr">
        <is>
          <t>Probabilité 3</t>
        </is>
      </c>
      <c r="C5" s="21">
        <f>COUNTIFS(Registre!$D$2:$D$33,3,Registre!$E$2:$E$33,1,Registre!$K$2:$K$33,"&lt;&gt;clos")</f>
        <v/>
      </c>
      <c r="D5" s="21">
        <f>COUNTIFS(Registre!$D$2:$D$33,3,Registre!$E$2:$E$33,2,Registre!$K$2:$K$33,"&lt;&gt;clos")</f>
        <v/>
      </c>
      <c r="E5" s="22">
        <f>COUNTIFS(Registre!$D$2:$D$33,3,Registre!$E$2:$E$33,3,Registre!$K$2:$K$33,"&lt;&gt;clos")</f>
        <v/>
      </c>
      <c r="F5" s="22">
        <f>COUNTIFS(Registre!$D$2:$D$33,3,Registre!$E$2:$E$33,4,Registre!$K$2:$K$33,"&lt;&gt;clos")</f>
        <v/>
      </c>
      <c r="G5" s="23">
        <f>COUNTIFS(Registre!$D$2:$D$33,3,Registre!$E$2:$E$33,5,Registre!$K$2:$K$33,"&lt;&gt;clos")</f>
        <v/>
      </c>
    </row>
    <row r="6">
      <c r="A6" s="19" t="n"/>
      <c r="B6" s="20" t="inlineStr">
        <is>
          <t>Probabilité 4</t>
        </is>
      </c>
      <c r="C6" s="21">
        <f>COUNTIFS(Registre!$D$2:$D$33,4,Registre!$E$2:$E$33,1,Registre!$K$2:$K$33,"&lt;&gt;clos")</f>
        <v/>
      </c>
      <c r="D6" s="22">
        <f>COUNTIFS(Registre!$D$2:$D$33,4,Registre!$E$2:$E$33,2,Registre!$K$2:$K$33,"&lt;&gt;clos")</f>
        <v/>
      </c>
      <c r="E6" s="22">
        <f>COUNTIFS(Registre!$D$2:$D$33,4,Registre!$E$2:$E$33,3,Registre!$K$2:$K$33,"&lt;&gt;clos")</f>
        <v/>
      </c>
      <c r="F6" s="23">
        <f>COUNTIFS(Registre!$D$2:$D$33,4,Registre!$E$2:$E$33,4,Registre!$K$2:$K$33,"&lt;&gt;clos")</f>
        <v/>
      </c>
      <c r="G6" s="23">
        <f>COUNTIFS(Registre!$D$2:$D$33,4,Registre!$E$2:$E$33,5,Registre!$K$2:$K$33,"&lt;&gt;clos")</f>
        <v/>
      </c>
    </row>
    <row r="7">
      <c r="A7" s="19" t="n"/>
      <c r="B7" s="20" t="inlineStr">
        <is>
          <t>Probabilité 5</t>
        </is>
      </c>
      <c r="C7" s="21">
        <f>COUNTIFS(Registre!$D$2:$D$33,5,Registre!$E$2:$E$33,1,Registre!$K$2:$K$33,"&lt;&gt;clos")</f>
        <v/>
      </c>
      <c r="D7" s="22">
        <f>COUNTIFS(Registre!$D$2:$D$33,5,Registre!$E$2:$E$33,2,Registre!$K$2:$K$33,"&lt;&gt;clos")</f>
        <v/>
      </c>
      <c r="E7" s="23">
        <f>COUNTIFS(Registre!$D$2:$D$33,5,Registre!$E$2:$E$33,3,Registre!$K$2:$K$33,"&lt;&gt;clos")</f>
        <v/>
      </c>
      <c r="F7" s="23">
        <f>COUNTIFS(Registre!$D$2:$D$33,5,Registre!$E$2:$E$33,4,Registre!$K$2:$K$33,"&lt;&gt;clos")</f>
        <v/>
      </c>
      <c r="G7" s="23">
        <f>COUNTIFS(Registre!$D$2:$D$33,5,Registre!$E$2:$E$33,5,Registre!$K$2:$K$33,"&lt;&gt;clos")</f>
        <v/>
      </c>
    </row>
  </sheetData>
  <mergeCells count="1">
    <mergeCell ref="A1:G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2026-08-07T12:45:51Z</dcterms:created>
  <dcterms:modified xmlns:dcterms="http://purl.org/dc/terms/" xmlns:xsi="http://www.w3.org/2001/XMLSchema-instance" xsi:type="dcterms:W3CDTF">2026-08-07T12:45:51Z</dcterms:modified>
</cp:coreProperties>
</file>